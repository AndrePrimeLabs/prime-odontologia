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 1" sheetId="1" r:id="rId4"/>
  </sheets>
  <definedNames/>
  <calcPr/>
  <extLst>
    <ext uri="GoogleSheetsCustomDataVersion2">
      <go:sheetsCustomData xmlns:go="http://customooxmlschemas.google.com/" r:id="rId5" roundtripDataChecksum="Pi0hHB7AqUpy/0XWAc6LrPEJJ3m9zoqpyQR7eGcIq10="/>
    </ext>
  </extLst>
</workbook>
</file>

<file path=xl/sharedStrings.xml><?xml version="1.0" encoding="utf-8"?>
<sst xmlns="http://schemas.openxmlformats.org/spreadsheetml/2006/main" count="46" uniqueCount="44">
  <si>
    <t>ANNUAL CASHFLOW YEAR 1</t>
  </si>
  <si>
    <t>Editable Cells Filled Are Black</t>
  </si>
  <si>
    <t>LOAN PAYMENT CALCULATOR</t>
  </si>
  <si>
    <t>EXPENSES (MONEY OUT)</t>
  </si>
  <si>
    <t>Asking Price</t>
  </si>
  <si>
    <t>Down payment</t>
  </si>
  <si>
    <t>Loan Amount #1</t>
  </si>
  <si>
    <t>Loan #1 Additional Fees Added To Loan</t>
  </si>
  <si>
    <t>Interest Rate (Annual)</t>
  </si>
  <si>
    <t>Term (Years)</t>
  </si>
  <si>
    <t>Loan Amount #2</t>
  </si>
  <si>
    <t>Debt Service Coverage Ratio</t>
  </si>
  <si>
    <t>Monthly Loan Payment</t>
  </si>
  <si>
    <t>REVENUE (MONEY IN - ANNUAL)</t>
  </si>
  <si>
    <t>Money In (Annual Business Revenue)</t>
  </si>
  <si>
    <t>Total Annual Income</t>
  </si>
  <si>
    <t>EXPENSES (MONEY OUT - ANNUAL)</t>
  </si>
  <si>
    <t>Operating Expenses</t>
  </si>
  <si>
    <t>Cost of Goods Sold</t>
  </si>
  <si>
    <t>Maintenance CapX</t>
  </si>
  <si>
    <t>Annual Loan Payments</t>
  </si>
  <si>
    <t>ADDITIONAL CALCULATIONS</t>
  </si>
  <si>
    <t>Operator Salary + Benefits (Annual - Not In Operating Expenses)</t>
  </si>
  <si>
    <t>Gross Profit Margin</t>
  </si>
  <si>
    <t>Total Annual Expenses</t>
  </si>
  <si>
    <t>Net Profit Margin</t>
  </si>
  <si>
    <t>Cash on Cash Return (Annual Cash Flow / Cash Invested)</t>
  </si>
  <si>
    <t>ADDBACKS (OWNER BENEFITS + DEPRECIATION + INTEREST + TAXES)</t>
  </si>
  <si>
    <t>Revenue Drop Before Loan Under Water</t>
  </si>
  <si>
    <t>Annual Addbacks</t>
  </si>
  <si>
    <t>Total Annual Addbacks</t>
  </si>
  <si>
    <t>TOTAL RETURN ON INITIAL INVESTMENT (BASED ON ZERO GROWTH)</t>
  </si>
  <si>
    <t>YEAR 1</t>
  </si>
  <si>
    <t>CASH FLOW (INCOME - EXPENSES - DEBT SERVICE + ADDBACKS)</t>
  </si>
  <si>
    <t>YEAR 2</t>
  </si>
  <si>
    <t>Monthly Cashflow</t>
  </si>
  <si>
    <t>YEAR 3*</t>
  </si>
  <si>
    <t>Annual Cashflow</t>
  </si>
  <si>
    <t>* This is a cumalative return over the 3-year period.</t>
  </si>
  <si>
    <t>Seller Discretionary Earnings (Rev - OpEx - COGS - MCapX + Addbacks)</t>
  </si>
  <si>
    <t>MULTIPLE CHART (SDE = OPERATING INCOME + ADDBACKS)</t>
  </si>
  <si>
    <t>Purchase Price</t>
  </si>
  <si>
    <t>Multiple of SDE</t>
  </si>
  <si>
    <t xml:space="preserve">Enter your own multiple here if none of the above are relevant.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</si>
</sst>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6">
    <font>
      <sz val="10.0"/>
      <color rgb="FF000000"/>
      <name val="Arial"/>
      <scheme val="minor"/>
    </font>
    <font>
      <sz val="18.0"/>
      <color theme="1"/>
      <name val="Montserrat"/>
    </font>
    <font>
      <sz val="36.0"/>
      <color theme="1"/>
      <name val="Montserrat"/>
    </font>
    <font/>
    <font>
      <color theme="1"/>
      <name val="Arial"/>
    </font>
    <font>
      <b/>
      <sz val="18.0"/>
      <color rgb="FFFFFFFF"/>
      <name val="Montserrat"/>
    </font>
    <font>
      <b/>
      <color rgb="FFFFFFFF"/>
      <name val="Montserrat"/>
    </font>
    <font>
      <b/>
      <sz val="11.0"/>
      <color rgb="FFFFFFFF"/>
      <name val="Poppins"/>
    </font>
    <font>
      <color theme="1"/>
      <name val="Poppins"/>
    </font>
    <font>
      <b/>
      <color rgb="FFFFFFFF"/>
      <name val="Poppins"/>
    </font>
    <font>
      <b/>
      <color theme="1"/>
      <name val="Poppins"/>
    </font>
    <font>
      <color theme="1"/>
      <name val="Montserrat"/>
    </font>
    <font>
      <i/>
      <color theme="1"/>
      <name val="Montserrat"/>
    </font>
    <font>
      <color theme="1"/>
      <name val="Arial"/>
      <scheme val="minor"/>
    </font>
    <font>
      <color rgb="FFFFFFFF"/>
      <name val="Montserrat"/>
    </font>
    <font>
      <sz val="8.0"/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1EBBBD"/>
        <bgColor rgb="FF1EBBBD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</border>
    <border>
      <right style="thin">
        <color rgb="FFFFFFFF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vertical="bottom"/>
    </xf>
    <xf borderId="5" fillId="2" fontId="5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6" fillId="3" fontId="6" numFmtId="0" xfId="0" applyBorder="1" applyFill="1" applyFont="1"/>
    <xf borderId="5" fillId="2" fontId="7" numFmtId="0" xfId="0" applyBorder="1" applyFont="1"/>
    <xf borderId="5" fillId="2" fontId="6" numFmtId="0" xfId="0" applyAlignment="1" applyBorder="1" applyFont="1">
      <alignment horizontal="center"/>
    </xf>
    <xf borderId="6" fillId="0" fontId="8" numFmtId="164" xfId="0" applyAlignment="1" applyBorder="1" applyFont="1" applyNumberFormat="1">
      <alignment vertical="bottom"/>
    </xf>
    <xf borderId="6" fillId="3" fontId="9" numFmtId="164" xfId="0" applyAlignment="1" applyBorder="1" applyFont="1" applyNumberFormat="1">
      <alignment horizontal="right" vertical="bottom"/>
    </xf>
    <xf borderId="0" fillId="2" fontId="4" numFmtId="0" xfId="0" applyFont="1"/>
    <xf borderId="8" fillId="2" fontId="4" numFmtId="0" xfId="0" applyBorder="1" applyFont="1"/>
    <xf borderId="6" fillId="0" fontId="8" numFmtId="164" xfId="0" applyAlignment="1" applyBorder="1" applyFont="1" applyNumberFormat="1">
      <alignment vertical="bottom"/>
    </xf>
    <xf borderId="6" fillId="3" fontId="9" numFmtId="164" xfId="0" applyAlignment="1" applyBorder="1" applyFont="1" applyNumberFormat="1">
      <alignment horizontal="right" vertical="bottom"/>
    </xf>
    <xf borderId="6" fillId="0" fontId="8" numFmtId="9" xfId="0" applyAlignment="1" applyBorder="1" applyFont="1" applyNumberFormat="1">
      <alignment vertical="bottom"/>
    </xf>
    <xf borderId="6" fillId="3" fontId="9" numFmtId="9" xfId="0" applyAlignment="1" applyBorder="1" applyFont="1" applyNumberFormat="1">
      <alignment horizontal="right" vertical="bottom"/>
    </xf>
    <xf borderId="6" fillId="0" fontId="8" numFmtId="3" xfId="0" applyAlignment="1" applyBorder="1" applyFont="1" applyNumberFormat="1">
      <alignment vertical="bottom"/>
    </xf>
    <xf borderId="6" fillId="3" fontId="9" numFmtId="3" xfId="0" applyAlignment="1" applyBorder="1" applyFont="1" applyNumberFormat="1">
      <alignment horizontal="right" vertical="bottom"/>
    </xf>
    <xf borderId="6" fillId="4" fontId="8" numFmtId="164" xfId="0" applyAlignment="1" applyBorder="1" applyFill="1" applyFont="1" applyNumberFormat="1">
      <alignment horizontal="right" vertical="bottom"/>
    </xf>
    <xf borderId="6" fillId="0" fontId="8" numFmtId="10" xfId="0" applyAlignment="1" applyBorder="1" applyFont="1" applyNumberFormat="1">
      <alignment vertical="bottom"/>
    </xf>
    <xf borderId="6" fillId="3" fontId="9" numFmtId="10" xfId="0" applyAlignment="1" applyBorder="1" applyFont="1" applyNumberFormat="1">
      <alignment horizontal="right" vertical="bottom"/>
    </xf>
    <xf borderId="6" fillId="0" fontId="8" numFmtId="0" xfId="0" applyAlignment="1" applyBorder="1" applyFont="1">
      <alignment vertical="bottom"/>
    </xf>
    <xf borderId="8" fillId="3" fontId="9" numFmtId="165" xfId="0" applyAlignment="1" applyBorder="1" applyFont="1" applyNumberFormat="1">
      <alignment horizontal="right" vertical="bottom"/>
    </xf>
    <xf borderId="9" fillId="0" fontId="8" numFmtId="4" xfId="0" applyAlignment="1" applyBorder="1" applyFont="1" applyNumberFormat="1">
      <alignment vertical="bottom"/>
    </xf>
    <xf borderId="9" fillId="5" fontId="8" numFmtId="4" xfId="0" applyAlignment="1" applyBorder="1" applyFill="1" applyFont="1" applyNumberFormat="1">
      <alignment horizontal="right" vertical="bottom"/>
    </xf>
    <xf borderId="6" fillId="5" fontId="10" numFmtId="164" xfId="0" applyAlignment="1" applyBorder="1" applyFont="1" applyNumberFormat="1">
      <alignment vertical="bottom"/>
    </xf>
    <xf borderId="6" fillId="5" fontId="10" numFmtId="164" xfId="0" applyAlignment="1" applyBorder="1" applyFont="1" applyNumberFormat="1">
      <alignment horizontal="right" vertical="bottom"/>
    </xf>
    <xf borderId="6" fillId="0" fontId="4" numFmtId="165" xfId="0" applyAlignment="1" applyBorder="1" applyFont="1" applyNumberFormat="1">
      <alignment vertical="bottom"/>
    </xf>
    <xf borderId="9" fillId="0" fontId="8" numFmtId="164" xfId="0" applyAlignment="1" applyBorder="1" applyFont="1" applyNumberFormat="1">
      <alignment vertical="bottom"/>
    </xf>
    <xf borderId="9" fillId="3" fontId="7" numFmtId="164" xfId="0" applyAlignment="1" applyBorder="1" applyFont="1" applyNumberFormat="1">
      <alignment horizontal="right" vertical="bottom"/>
    </xf>
    <xf borderId="5" fillId="2" fontId="4" numFmtId="0" xfId="0" applyBorder="1" applyFont="1"/>
    <xf borderId="6" fillId="2" fontId="4" numFmtId="0" xfId="0" applyBorder="1" applyFont="1"/>
    <xf borderId="6" fillId="5" fontId="8" numFmtId="164" xfId="0" applyAlignment="1" applyBorder="1" applyFont="1" applyNumberFormat="1">
      <alignment horizontal="right" vertical="bottom"/>
    </xf>
    <xf borderId="5" fillId="2" fontId="6" numFmtId="0" xfId="0" applyBorder="1" applyFont="1"/>
    <xf borderId="9" fillId="3" fontId="9" numFmtId="164" xfId="0" applyAlignment="1" applyBorder="1" applyFont="1" applyNumberFormat="1">
      <alignment horizontal="right" vertical="bottom"/>
    </xf>
    <xf borderId="6" fillId="4" fontId="11" numFmtId="10" xfId="0" applyAlignment="1" applyBorder="1" applyFont="1" applyNumberFormat="1">
      <alignment vertical="bottom"/>
    </xf>
    <xf borderId="6" fillId="4" fontId="11" numFmtId="10" xfId="0" applyAlignment="1" applyBorder="1" applyFont="1" applyNumberFormat="1">
      <alignment horizontal="right" vertical="bottom"/>
    </xf>
    <xf borderId="6" fillId="0" fontId="11" numFmtId="10" xfId="0" applyAlignment="1" applyBorder="1" applyFont="1" applyNumberFormat="1">
      <alignment vertical="bottom"/>
    </xf>
    <xf borderId="6" fillId="0" fontId="11" numFmtId="10" xfId="0" applyAlignment="1" applyBorder="1" applyFont="1" applyNumberFormat="1">
      <alignment horizontal="right" vertical="bottom"/>
    </xf>
    <xf borderId="6" fillId="0" fontId="4" numFmtId="0" xfId="0" applyAlignment="1" applyBorder="1" applyFont="1">
      <alignment vertical="bottom"/>
    </xf>
    <xf borderId="6" fillId="0" fontId="8" numFmtId="164" xfId="0" applyAlignment="1" applyBorder="1" applyFont="1" applyNumberFormat="1">
      <alignment horizontal="right" vertical="bottom"/>
    </xf>
    <xf borderId="6" fillId="0" fontId="12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2" fontId="7" numFmtId="0" xfId="0" applyAlignment="1" applyBorder="1" applyFont="1">
      <alignment horizontal="center"/>
    </xf>
    <xf borderId="6" fillId="0" fontId="10" numFmtId="165" xfId="0" applyAlignment="1" applyBorder="1" applyFont="1" applyNumberFormat="1">
      <alignment horizontal="center" vertical="bottom"/>
    </xf>
    <xf borderId="6" fillId="0" fontId="10" numFmtId="0" xfId="0" applyAlignment="1" applyBorder="1" applyFont="1">
      <alignment horizontal="center" vertical="bottom"/>
    </xf>
    <xf borderId="7" fillId="0" fontId="4" numFmtId="165" xfId="0" applyAlignment="1" applyBorder="1" applyFont="1" applyNumberFormat="1">
      <alignment vertical="bottom"/>
    </xf>
    <xf borderId="6" fillId="0" fontId="8" numFmtId="165" xfId="0" applyAlignment="1" applyBorder="1" applyFont="1" applyNumberFormat="1">
      <alignment horizontal="center" vertical="bottom"/>
    </xf>
    <xf borderId="6" fillId="0" fontId="8" numFmtId="2" xfId="0" applyAlignment="1" applyBorder="1" applyFont="1" applyNumberFormat="1">
      <alignment horizontal="center" vertical="bottom"/>
    </xf>
    <xf borderId="7" fillId="0" fontId="4" numFmtId="164" xfId="0" applyAlignment="1" applyBorder="1" applyFont="1" applyNumberFormat="1">
      <alignment vertical="bottom"/>
    </xf>
    <xf borderId="6" fillId="0" fontId="8" numFmtId="164" xfId="0" applyAlignment="1" applyBorder="1" applyFont="1" applyNumberFormat="1">
      <alignment horizontal="center" vertical="bottom"/>
    </xf>
    <xf borderId="6" fillId="0" fontId="8" numFmtId="0" xfId="0" applyAlignment="1" applyBorder="1" applyFont="1">
      <alignment horizontal="center" vertical="bottom"/>
    </xf>
    <xf borderId="0" fillId="0" fontId="13" numFmtId="0" xfId="0" applyFont="1"/>
    <xf borderId="6" fillId="3" fontId="14" numFmtId="0" xfId="0" applyAlignment="1" applyBorder="1" applyFont="1">
      <alignment horizontal="center" vertical="bottom"/>
    </xf>
    <xf borderId="8" fillId="0" fontId="4" numFmtId="0" xfId="0" applyAlignment="1" applyBorder="1" applyFont="1">
      <alignment vertical="bottom"/>
    </xf>
    <xf borderId="5" fillId="0" fontId="1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1EBBBD"/>
              </a:solidFill>
            </c:spPr>
          </c:dPt>
          <c:dPt>
            <c:idx val="2"/>
            <c:spPr>
              <a:solidFill>
                <a:srgbClr val="CC0000"/>
              </a:solidFill>
            </c:spPr>
          </c:dPt>
          <c:dPt>
            <c:idx val="3"/>
            <c:spPr>
              <a:solidFill>
                <a:srgbClr val="674EA7"/>
              </a:solidFill>
            </c:spPr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'YEAR 1'!$B$20:$B$24</c:f>
            </c:strRef>
          </c:cat>
          <c:val>
            <c:numRef>
              <c:f>'YEAR 1'!$C$20:$C$24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 sz="1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6</xdr:row>
      <xdr:rowOff>200025</xdr:rowOff>
    </xdr:from>
    <xdr:ext cx="5648325" cy="3743325"/>
    <xdr:graphicFrame>
      <xdr:nvGraphicFramePr>
        <xdr:cNvPr id="35143931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495300</xdr:colOff>
      <xdr:row>0</xdr:row>
      <xdr:rowOff>66675</xdr:rowOff>
    </xdr:from>
    <xdr:ext cx="2343150" cy="7239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47.38"/>
    <col customWidth="1" min="3" max="3" width="14.5"/>
    <col customWidth="1" min="4" max="4" width="7.63"/>
    <col customWidth="1" min="5" max="5" width="39.88"/>
    <col customWidth="1" min="6" max="6" width="34.88"/>
  </cols>
  <sheetData>
    <row r="1" ht="69.75" customHeight="1">
      <c r="A1" s="1"/>
      <c r="B1" s="2"/>
      <c r="C1" s="3"/>
      <c r="D1" s="3"/>
      <c r="E1" s="3"/>
      <c r="F1" s="4"/>
    </row>
    <row r="2" ht="36.0" customHeight="1">
      <c r="A2" s="5"/>
      <c r="B2" s="6" t="s">
        <v>0</v>
      </c>
      <c r="C2" s="7"/>
      <c r="D2" s="7"/>
      <c r="E2" s="7"/>
      <c r="F2" s="8"/>
    </row>
    <row r="3" ht="15.75" customHeight="1">
      <c r="A3" s="9"/>
      <c r="B3" s="10"/>
      <c r="C3" s="10"/>
      <c r="D3" s="10"/>
      <c r="E3" s="10"/>
      <c r="F3" s="10"/>
    </row>
    <row r="4" ht="15.75" customHeight="1">
      <c r="A4" s="9"/>
      <c r="B4" s="11" t="s">
        <v>1</v>
      </c>
      <c r="C4" s="10"/>
      <c r="D4" s="10"/>
      <c r="E4" s="10"/>
      <c r="F4" s="10"/>
    </row>
    <row r="5" ht="15.75" customHeight="1">
      <c r="A5" s="9"/>
      <c r="B5" s="10"/>
      <c r="C5" s="10"/>
      <c r="D5" s="10"/>
      <c r="E5" s="10"/>
      <c r="F5" s="10"/>
    </row>
    <row r="6" ht="15.75" customHeight="1">
      <c r="A6" s="9"/>
      <c r="B6" s="12" t="s">
        <v>2</v>
      </c>
      <c r="C6" s="8"/>
      <c r="D6" s="10"/>
      <c r="E6" s="13" t="s">
        <v>3</v>
      </c>
      <c r="F6" s="8"/>
    </row>
    <row r="7" ht="15.75" customHeight="1">
      <c r="A7" s="9"/>
      <c r="B7" s="14" t="s">
        <v>4</v>
      </c>
      <c r="C7" s="15">
        <v>1000000.0</v>
      </c>
      <c r="D7" s="10"/>
      <c r="E7" s="16"/>
      <c r="F7" s="17"/>
    </row>
    <row r="8" ht="15.75" customHeight="1">
      <c r="A8" s="9"/>
      <c r="B8" s="14" t="s">
        <v>5</v>
      </c>
      <c r="C8" s="15">
        <v>100000.0</v>
      </c>
      <c r="D8" s="10"/>
      <c r="E8" s="16"/>
      <c r="F8" s="17"/>
    </row>
    <row r="9" ht="15.75" customHeight="1">
      <c r="A9" s="9"/>
      <c r="B9" s="14" t="s">
        <v>6</v>
      </c>
      <c r="C9" s="15">
        <v>800000.0</v>
      </c>
      <c r="D9" s="10"/>
      <c r="E9" s="16"/>
      <c r="F9" s="17"/>
    </row>
    <row r="10" ht="15.75" customHeight="1">
      <c r="A10" s="9"/>
      <c r="B10" s="18" t="s">
        <v>7</v>
      </c>
      <c r="C10" s="19">
        <v>0.0</v>
      </c>
      <c r="D10" s="10"/>
      <c r="E10" s="16"/>
      <c r="F10" s="17"/>
    </row>
    <row r="11" ht="15.75" customHeight="1">
      <c r="A11" s="9"/>
      <c r="B11" s="20" t="s">
        <v>8</v>
      </c>
      <c r="C11" s="21">
        <v>0.1</v>
      </c>
      <c r="D11" s="10"/>
      <c r="E11" s="16"/>
      <c r="F11" s="17"/>
    </row>
    <row r="12" ht="15.75" customHeight="1">
      <c r="A12" s="9"/>
      <c r="B12" s="22" t="s">
        <v>9</v>
      </c>
      <c r="C12" s="23">
        <v>10.0</v>
      </c>
      <c r="D12" s="10"/>
      <c r="E12" s="16"/>
      <c r="F12" s="17"/>
    </row>
    <row r="13" ht="15.75" customHeight="1">
      <c r="A13" s="9"/>
      <c r="B13" s="14" t="s">
        <v>10</v>
      </c>
      <c r="C13" s="24">
        <f>C7-C8-C9</f>
        <v>100000</v>
      </c>
      <c r="D13" s="10"/>
      <c r="E13" s="16"/>
      <c r="F13" s="17"/>
    </row>
    <row r="14" ht="15.75" customHeight="1">
      <c r="A14" s="9"/>
      <c r="B14" s="25" t="s">
        <v>8</v>
      </c>
      <c r="C14" s="26">
        <v>0.1</v>
      </c>
      <c r="D14" s="10"/>
      <c r="E14" s="16"/>
      <c r="F14" s="17"/>
    </row>
    <row r="15" ht="15.75" customHeight="1">
      <c r="A15" s="9"/>
      <c r="B15" s="27" t="s">
        <v>9</v>
      </c>
      <c r="C15" s="28">
        <v>10.0</v>
      </c>
      <c r="D15" s="10"/>
      <c r="E15" s="16"/>
      <c r="F15" s="17"/>
    </row>
    <row r="16" ht="15.75" customHeight="1">
      <c r="A16" s="9"/>
      <c r="B16" s="29" t="s">
        <v>11</v>
      </c>
      <c r="C16" s="30">
        <f>(C37+C27)/C27</f>
        <v>2.732569788</v>
      </c>
      <c r="D16" s="10"/>
      <c r="E16" s="16"/>
      <c r="F16" s="17"/>
    </row>
    <row r="17" ht="15.75" customHeight="1">
      <c r="A17" s="9"/>
      <c r="B17" s="31" t="s">
        <v>12</v>
      </c>
      <c r="C17" s="32">
        <f>PMT(C14/12, C15*12, -C13)+(PMT(C11/12, C12*12, -C9-C10))</f>
        <v>11893.56632</v>
      </c>
      <c r="D17" s="10"/>
      <c r="E17" s="16"/>
      <c r="F17" s="17"/>
    </row>
    <row r="18" ht="15.75" customHeight="1">
      <c r="A18" s="9"/>
      <c r="B18" s="10"/>
      <c r="C18" s="33"/>
      <c r="D18" s="10"/>
      <c r="E18" s="16"/>
      <c r="F18" s="17"/>
    </row>
    <row r="19" ht="15.75" customHeight="1">
      <c r="A19" s="9"/>
      <c r="B19" s="12" t="s">
        <v>13</v>
      </c>
      <c r="C19" s="8"/>
      <c r="D19" s="10"/>
      <c r="E19" s="16"/>
      <c r="F19" s="17"/>
    </row>
    <row r="20" ht="15.75" customHeight="1">
      <c r="A20" s="9"/>
      <c r="B20" s="34" t="s">
        <v>14</v>
      </c>
      <c r="C20" s="35">
        <v>1500000.0</v>
      </c>
      <c r="D20" s="10"/>
      <c r="E20" s="16"/>
      <c r="F20" s="17"/>
    </row>
    <row r="21" ht="15.75" customHeight="1">
      <c r="A21" s="9"/>
      <c r="B21" s="31" t="s">
        <v>15</v>
      </c>
      <c r="C21" s="32">
        <f>C20</f>
        <v>1500000</v>
      </c>
      <c r="D21" s="10"/>
      <c r="E21" s="16"/>
      <c r="F21" s="17"/>
    </row>
    <row r="22" ht="15.75" customHeight="1">
      <c r="A22" s="9"/>
      <c r="B22" s="10"/>
      <c r="C22" s="33"/>
      <c r="D22" s="10"/>
      <c r="E22" s="16"/>
      <c r="F22" s="17"/>
    </row>
    <row r="23" ht="15.75" customHeight="1">
      <c r="A23" s="9"/>
      <c r="B23" s="12" t="s">
        <v>16</v>
      </c>
      <c r="C23" s="8"/>
      <c r="D23" s="10"/>
      <c r="E23" s="16"/>
      <c r="F23" s="17"/>
    </row>
    <row r="24" ht="15.75" customHeight="1">
      <c r="A24" s="9"/>
      <c r="B24" s="14" t="s">
        <v>17</v>
      </c>
      <c r="C24" s="15">
        <v>1050000.0</v>
      </c>
      <c r="D24" s="10"/>
      <c r="E24" s="16"/>
      <c r="F24" s="17"/>
    </row>
    <row r="25" ht="15.75" customHeight="1">
      <c r="A25" s="9"/>
      <c r="B25" s="14" t="s">
        <v>18</v>
      </c>
      <c r="C25" s="15">
        <v>100000.0</v>
      </c>
      <c r="D25" s="10"/>
      <c r="E25" s="36"/>
      <c r="F25" s="37"/>
    </row>
    <row r="26" ht="15.75" customHeight="1">
      <c r="A26" s="9"/>
      <c r="B26" s="14" t="s">
        <v>19</v>
      </c>
      <c r="C26" s="15">
        <v>10000.0</v>
      </c>
      <c r="D26" s="10"/>
      <c r="E26" s="10"/>
      <c r="F26" s="10"/>
    </row>
    <row r="27" ht="15.75" customHeight="1">
      <c r="A27" s="9"/>
      <c r="B27" s="14" t="s">
        <v>20</v>
      </c>
      <c r="C27" s="38">
        <f>C17*12</f>
        <v>142722.7958</v>
      </c>
      <c r="D27" s="10"/>
      <c r="E27" s="39" t="s">
        <v>21</v>
      </c>
      <c r="F27" s="8"/>
    </row>
    <row r="28" ht="15.75" customHeight="1">
      <c r="A28" s="9"/>
      <c r="B28" s="34" t="s">
        <v>22</v>
      </c>
      <c r="C28" s="40">
        <v>0.0</v>
      </c>
      <c r="D28" s="10"/>
      <c r="E28" s="41" t="s">
        <v>23</v>
      </c>
      <c r="F28" s="42">
        <f>(C21-C25)/C21</f>
        <v>0.9333333333</v>
      </c>
    </row>
    <row r="29" ht="15.75" customHeight="1">
      <c r="A29" s="9"/>
      <c r="B29" s="31" t="s">
        <v>24</v>
      </c>
      <c r="C29" s="32">
        <f>SUM(C24:C28)</f>
        <v>1302722.796</v>
      </c>
      <c r="D29" s="10"/>
      <c r="E29" s="43" t="s">
        <v>25</v>
      </c>
      <c r="F29" s="44">
        <f>(C37+C27)/C21</f>
        <v>0.26</v>
      </c>
    </row>
    <row r="30" ht="15.75" customHeight="1">
      <c r="A30" s="9"/>
      <c r="B30" s="45"/>
      <c r="C30" s="33"/>
      <c r="D30" s="10"/>
      <c r="E30" s="41" t="s">
        <v>26</v>
      </c>
      <c r="F30" s="42">
        <f>C37/C8</f>
        <v>2.472772042</v>
      </c>
    </row>
    <row r="31" ht="15.75" customHeight="1">
      <c r="A31" s="9"/>
      <c r="B31" s="12" t="s">
        <v>27</v>
      </c>
      <c r="C31" s="8"/>
      <c r="D31" s="10"/>
      <c r="E31" s="43" t="s">
        <v>28</v>
      </c>
      <c r="F31" s="44">
        <f>C37/C21</f>
        <v>0.1648514694</v>
      </c>
    </row>
    <row r="32" ht="15.75" customHeight="1">
      <c r="A32" s="9"/>
      <c r="B32" s="34" t="s">
        <v>29</v>
      </c>
      <c r="C32" s="40">
        <v>50000.0</v>
      </c>
      <c r="D32" s="10"/>
      <c r="E32" s="10"/>
      <c r="F32" s="10"/>
    </row>
    <row r="33" ht="15.75" customHeight="1">
      <c r="A33" s="9"/>
      <c r="B33" s="31" t="s">
        <v>30</v>
      </c>
      <c r="C33" s="32">
        <f>C32</f>
        <v>50000</v>
      </c>
      <c r="D33" s="10"/>
      <c r="E33" s="39" t="s">
        <v>31</v>
      </c>
      <c r="F33" s="8"/>
    </row>
    <row r="34" ht="15.75" customHeight="1">
      <c r="A34" s="9"/>
      <c r="B34" s="10"/>
      <c r="C34" s="10"/>
      <c r="D34" s="10"/>
      <c r="E34" s="41" t="s">
        <v>32</v>
      </c>
      <c r="F34" s="42">
        <f>((C37)-C8)/C8</f>
        <v>1.472772042</v>
      </c>
    </row>
    <row r="35" ht="15.75" customHeight="1">
      <c r="A35" s="9"/>
      <c r="B35" s="12" t="s">
        <v>33</v>
      </c>
      <c r="C35" s="8"/>
      <c r="D35" s="10"/>
      <c r="E35" s="43" t="s">
        <v>34</v>
      </c>
      <c r="F35" s="44">
        <f>((C37*2)-C8)/C8</f>
        <v>3.945544083</v>
      </c>
    </row>
    <row r="36" ht="15.75" customHeight="1">
      <c r="A36" s="9"/>
      <c r="B36" s="14" t="s">
        <v>35</v>
      </c>
      <c r="C36" s="46">
        <f>(C21-C29+C32)/12</f>
        <v>20606.43368</v>
      </c>
      <c r="D36" s="10"/>
      <c r="E36" s="41" t="s">
        <v>36</v>
      </c>
      <c r="F36" s="42">
        <f>((C37*3)-C8)/C8</f>
        <v>6.418316125</v>
      </c>
    </row>
    <row r="37" ht="15.75" customHeight="1">
      <c r="A37" s="9"/>
      <c r="B37" s="14" t="s">
        <v>37</v>
      </c>
      <c r="C37" s="46">
        <f>(C21-C29+C32)</f>
        <v>247277.2042</v>
      </c>
      <c r="D37" s="10"/>
      <c r="E37" s="47" t="s">
        <v>38</v>
      </c>
      <c r="F37" s="10"/>
    </row>
    <row r="38" ht="15.75" customHeight="1">
      <c r="A38" s="9"/>
      <c r="B38" s="14" t="s">
        <v>39</v>
      </c>
      <c r="C38" s="46">
        <f>C21-C24-C25-C26+C32</f>
        <v>390000</v>
      </c>
      <c r="D38" s="10"/>
      <c r="E38" s="10"/>
      <c r="F38" s="10"/>
    </row>
    <row r="39" ht="15.75" customHeight="1">
      <c r="A39" s="9"/>
      <c r="B39" s="48"/>
      <c r="C39" s="7"/>
      <c r="D39" s="8"/>
      <c r="E39" s="10"/>
      <c r="F39" s="10"/>
    </row>
    <row r="40" ht="15.75" customHeight="1">
      <c r="A40" s="9"/>
      <c r="B40" s="49" t="s">
        <v>40</v>
      </c>
      <c r="C40" s="8"/>
      <c r="D40" s="10"/>
      <c r="E40" s="10"/>
      <c r="F40" s="10"/>
    </row>
    <row r="41" ht="15.75" customHeight="1">
      <c r="A41" s="9"/>
      <c r="B41" s="50" t="s">
        <v>41</v>
      </c>
      <c r="C41" s="51" t="s">
        <v>42</v>
      </c>
      <c r="D41" s="10"/>
      <c r="E41" s="10"/>
      <c r="F41" s="10"/>
    </row>
    <row r="42" ht="15.75" customHeight="1">
      <c r="A42" s="52"/>
      <c r="B42" s="53" t="str">
        <f>"Asking Price Of "&amp;text(C7,"$0,000")</f>
        <v>Asking Price Of $1,000,000</v>
      </c>
      <c r="C42" s="54">
        <f>C7/C38</f>
        <v>2.564102564</v>
      </c>
      <c r="D42" s="10"/>
      <c r="E42" s="10"/>
      <c r="F42" s="10"/>
    </row>
    <row r="43" ht="15.75" customHeight="1">
      <c r="A43" s="55"/>
      <c r="B43" s="56">
        <f t="shared" ref="B43:B59" si="1">C$37*C43</f>
        <v>494554.4083</v>
      </c>
      <c r="C43" s="57">
        <v>2.0</v>
      </c>
      <c r="D43" s="10"/>
      <c r="E43" s="10"/>
      <c r="F43" s="10"/>
    </row>
    <row r="44" ht="15.75" customHeight="1">
      <c r="A44" s="55"/>
      <c r="B44" s="56">
        <f t="shared" si="1"/>
        <v>519282.1288</v>
      </c>
      <c r="C44" s="57">
        <v>2.1</v>
      </c>
      <c r="D44" s="10"/>
      <c r="E44" s="10"/>
      <c r="F44" s="10"/>
    </row>
    <row r="45" ht="15.75" customHeight="1">
      <c r="A45" s="55"/>
      <c r="B45" s="56">
        <f t="shared" si="1"/>
        <v>544009.8492</v>
      </c>
      <c r="C45" s="57">
        <v>2.2</v>
      </c>
      <c r="D45" s="10"/>
      <c r="E45" s="10"/>
      <c r="F45" s="10"/>
    </row>
    <row r="46" ht="15.75" customHeight="1">
      <c r="A46" s="55"/>
      <c r="B46" s="56">
        <f t="shared" si="1"/>
        <v>568737.5696</v>
      </c>
      <c r="C46" s="57">
        <v>2.3</v>
      </c>
      <c r="D46" s="10"/>
      <c r="E46" s="10"/>
      <c r="F46" s="10"/>
    </row>
    <row r="47" ht="15.75" customHeight="1">
      <c r="A47" s="55"/>
      <c r="B47" s="56">
        <f t="shared" si="1"/>
        <v>593465.29</v>
      </c>
      <c r="C47" s="57">
        <v>2.4</v>
      </c>
      <c r="D47" s="10"/>
      <c r="E47" s="10"/>
      <c r="F47" s="10"/>
    </row>
    <row r="48" ht="15.75" customHeight="1">
      <c r="A48" s="55"/>
      <c r="B48" s="56">
        <f t="shared" si="1"/>
        <v>618193.0104</v>
      </c>
      <c r="C48" s="57">
        <v>2.5</v>
      </c>
      <c r="D48" s="10"/>
      <c r="E48" s="10"/>
      <c r="F48" s="10"/>
    </row>
    <row r="49" ht="15.75" customHeight="1">
      <c r="A49" s="55"/>
      <c r="B49" s="56">
        <f t="shared" si="1"/>
        <v>642920.7308</v>
      </c>
      <c r="C49" s="57">
        <v>2.6</v>
      </c>
      <c r="D49" s="10"/>
      <c r="E49" s="10"/>
      <c r="F49" s="10"/>
    </row>
    <row r="50" ht="15.75" customHeight="1">
      <c r="A50" s="55"/>
      <c r="B50" s="56">
        <f t="shared" si="1"/>
        <v>667648.4513</v>
      </c>
      <c r="C50" s="57">
        <v>2.7</v>
      </c>
      <c r="D50" s="10"/>
      <c r="E50" s="10"/>
      <c r="F50" s="10"/>
    </row>
    <row r="51" ht="15.75" customHeight="1">
      <c r="A51" s="55"/>
      <c r="B51" s="56">
        <f t="shared" si="1"/>
        <v>692376.1717</v>
      </c>
      <c r="C51" s="57">
        <v>2.8</v>
      </c>
      <c r="D51" s="10"/>
      <c r="E51" s="10"/>
      <c r="F51" s="10"/>
    </row>
    <row r="52" ht="15.75" customHeight="1">
      <c r="A52" s="55"/>
      <c r="B52" s="56">
        <f t="shared" si="1"/>
        <v>717103.8921</v>
      </c>
      <c r="C52" s="57">
        <v>2.9</v>
      </c>
      <c r="D52" s="10"/>
      <c r="E52" s="58"/>
      <c r="F52" s="58"/>
    </row>
    <row r="53" ht="15.75" customHeight="1">
      <c r="A53" s="55"/>
      <c r="B53" s="56">
        <f t="shared" si="1"/>
        <v>741831.6125</v>
      </c>
      <c r="C53" s="57">
        <v>3.0</v>
      </c>
      <c r="D53" s="10"/>
      <c r="E53" s="58"/>
      <c r="F53" s="58"/>
    </row>
    <row r="54" ht="15.75" customHeight="1">
      <c r="A54" s="55"/>
      <c r="B54" s="56">
        <f t="shared" si="1"/>
        <v>766559.3329</v>
      </c>
      <c r="C54" s="57">
        <v>3.1</v>
      </c>
      <c r="D54" s="10"/>
    </row>
    <row r="55" ht="15.75" customHeight="1">
      <c r="A55" s="55"/>
      <c r="B55" s="56">
        <f t="shared" si="1"/>
        <v>791287.0533</v>
      </c>
      <c r="C55" s="57">
        <v>3.2</v>
      </c>
      <c r="D55" s="10"/>
    </row>
    <row r="56" ht="15.75" customHeight="1">
      <c r="A56" s="55"/>
      <c r="B56" s="56">
        <f t="shared" si="1"/>
        <v>816014.7738</v>
      </c>
      <c r="C56" s="57">
        <v>3.3</v>
      </c>
      <c r="D56" s="10"/>
    </row>
    <row r="57" ht="15.75" customHeight="1">
      <c r="A57" s="55"/>
      <c r="B57" s="56">
        <f t="shared" si="1"/>
        <v>840742.4942</v>
      </c>
      <c r="C57" s="57">
        <v>3.4</v>
      </c>
      <c r="D57" s="10"/>
    </row>
    <row r="58" ht="15.75" customHeight="1">
      <c r="A58" s="55"/>
      <c r="B58" s="56">
        <f t="shared" si="1"/>
        <v>865470.2146</v>
      </c>
      <c r="C58" s="57">
        <v>3.5</v>
      </c>
      <c r="D58" s="10"/>
    </row>
    <row r="59" ht="15.75" customHeight="1">
      <c r="A59" s="55"/>
      <c r="B59" s="56">
        <f t="shared" si="1"/>
        <v>704740.0319</v>
      </c>
      <c r="C59" s="59">
        <v>2.85</v>
      </c>
      <c r="D59" s="10"/>
    </row>
    <row r="60" ht="28.5" customHeight="1">
      <c r="A60" s="60"/>
      <c r="B60" s="10"/>
      <c r="C60" s="61" t="s">
        <v>43</v>
      </c>
      <c r="D60" s="8"/>
    </row>
  </sheetData>
  <mergeCells count="13">
    <mergeCell ref="B19:C19"/>
    <mergeCell ref="B23:C23"/>
    <mergeCell ref="B31:C31"/>
    <mergeCell ref="B35:C35"/>
    <mergeCell ref="B39:D39"/>
    <mergeCell ref="B40:C40"/>
    <mergeCell ref="C60:D60"/>
    <mergeCell ref="E27:F27"/>
    <mergeCell ref="E33:F33"/>
    <mergeCell ref="B1:F1"/>
    <mergeCell ref="B2:F2"/>
    <mergeCell ref="B6:C6"/>
    <mergeCell ref="E6:F6"/>
  </mergeCells>
  <drawing r:id="rId1"/>
</worksheet>
</file>