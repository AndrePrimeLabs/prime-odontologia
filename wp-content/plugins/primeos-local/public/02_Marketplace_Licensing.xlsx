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Tiers" sheetId="1" state="visible" r:id="rId3"/>
    <sheet name="Module Catalog" sheetId="2" state="visible" r:id="rId4"/>
    <sheet name="Revenue Proje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<sst xmlns="http://schemas.openxmlformats.org/spreadsheetml/2006/main" count="351" uniqueCount="211">
  <si>
    <t xml:space="preserve">PrimeOsHub Module Marketplace — Licensing &amp; Pricing Model</t>
  </si>
  <si>
    <t xml:space="preserve">Feature</t>
  </si>
  <si>
    <t xml:space="preserve">Starter (Free)</t>
  </si>
  <si>
    <t xml:space="preserve">Basic</t>
  </si>
  <si>
    <t xml:space="preserve">Professional</t>
  </si>
  <si>
    <t xml:space="preserve">Enterprise</t>
  </si>
  <si>
    <t xml:space="preserve">White-Label</t>
  </si>
  <si>
    <t xml:space="preserve">Notes</t>
  </si>
  <si>
    <t xml:space="preserve">Price / org / month</t>
  </si>
  <si>
    <t xml:space="preserve">R$ 0</t>
  </si>
  <si>
    <t xml:space="preserve">R$ 197</t>
  </si>
  <si>
    <t xml:space="preserve">R$ 497</t>
  </si>
  <si>
    <t xml:space="preserve">R$ 1.497</t>
  </si>
  <si>
    <t xml:space="preserve">Custom</t>
  </si>
  <si>
    <t xml:space="preserve">Annual discount: 20%</t>
  </si>
  <si>
    <t xml:space="preserve">Target</t>
  </si>
  <si>
    <t xml:space="preserve">Solo / test</t>
  </si>
  <si>
    <t xml:space="preserve">Small business</t>
  </si>
  <si>
    <t xml:space="preserve">Mid-market</t>
  </si>
  <si>
    <t xml:space="preserve">Resellers / SaaS builders</t>
  </si>
  <si>
    <t xml:space="preserve">White-label adds custom domain + branding</t>
  </si>
  <si>
    <t xml:space="preserve">── BMC CORE ──</t>
  </si>
  <si>
    <t xml:space="preserve">BMC blocks (9)</t>
  </si>
  <si>
    <t xml:space="preserve">Read-only view</t>
  </si>
  <si>
    <t xml:space="preserve">✓ Full access</t>
  </si>
  <si>
    <t xml:space="preserve">All 9 blocks unlocked at Basic+</t>
  </si>
  <si>
    <t xml:space="preserve">Organizations (orgs)</t>
  </si>
  <si>
    <t xml:space="preserve">1</t>
  </si>
  <si>
    <t xml:space="preserve">Up to 5</t>
  </si>
  <si>
    <t xml:space="preserve">Unlimited</t>
  </si>
  <si>
    <t xml:space="preserve">Org = one company/tenant</t>
  </si>
  <si>
    <t xml:space="preserve">Users per org</t>
  </si>
  <si>
    <t xml:space="preserve">5</t>
  </si>
  <si>
    <t xml:space="preserve">25</t>
  </si>
  <si>
    <t xml:space="preserve">Audit log retention</t>
  </si>
  <si>
    <t xml:space="preserve">7 days</t>
  </si>
  <si>
    <t xml:space="preserve">30 days</t>
  </si>
  <si>
    <t xml:space="preserve">1 year</t>
  </si>
  <si>
    <t xml:space="preserve">── AI AGENTS ──</t>
  </si>
  <si>
    <t xml:space="preserve">Clara (WhatsApp agent)</t>
  </si>
  <si>
    <t xml:space="preserve">—</t>
  </si>
  <si>
    <t xml:space="preserve">Add-on R$97</t>
  </si>
  <si>
    <t xml:space="preserve">✓ Included</t>
  </si>
  <si>
    <t xml:space="preserve">✓ Multi-instance</t>
  </si>
  <si>
    <t xml:space="preserve">✓ Custom persona</t>
  </si>
  <si>
    <t xml:space="preserve">Requires WhatsApp Business API</t>
  </si>
  <si>
    <t xml:space="preserve">Luzia (governance)</t>
  </si>
  <si>
    <t xml:space="preserve">Monitors all modules</t>
  </si>
  <si>
    <t xml:space="preserve">NemoClaw sandbox</t>
  </si>
  <si>
    <t xml:space="preserve">NVIDIA OpenShell isolation</t>
  </si>
  <si>
    <t xml:space="preserve">OpenClaw plugins</t>
  </si>
  <si>
    <t xml:space="preserve">5 plugins</t>
  </si>
  <si>
    <t xml:space="preserve">Custom build</t>
  </si>
  <si>
    <t xml:space="preserve">Custom plugins billed per module</t>
  </si>
  <si>
    <t xml:space="preserve">── DEPARTMENTS ──</t>
  </si>
  <si>
    <t xml:space="preserve">Finances module</t>
  </si>
  <si>
    <t xml:space="preserve">✓</t>
  </si>
  <si>
    <t xml:space="preserve">Invoicing, P&amp;L, cash flow</t>
  </si>
  <si>
    <t xml:space="preserve">Marketing module</t>
  </si>
  <si>
    <t xml:space="preserve">Campaigns, leads, SEO</t>
  </si>
  <si>
    <t xml:space="preserve">Sales module</t>
  </si>
  <si>
    <t xml:space="preserve">Pipeline, CRM, quotes</t>
  </si>
  <si>
    <t xml:space="preserve">Operations module</t>
  </si>
  <si>
    <t xml:space="preserve">Workflows, KPIs, scheduling</t>
  </si>
  <si>
    <t xml:space="preserve">── INTEGRATIONS ──</t>
  </si>
  <si>
    <t xml:space="preserve">GitHub integration</t>
  </si>
  <si>
    <t xml:space="preserve">Repo sync, CI/CD triggers</t>
  </si>
  <si>
    <t xml:space="preserve">Notion integration</t>
  </si>
  <si>
    <t xml:space="preserve">Docs and wiki sync</t>
  </si>
  <si>
    <t xml:space="preserve">Netlify deploy</t>
  </si>
  <si>
    <t xml:space="preserve">Edge deploy for dashboards</t>
  </si>
  <si>
    <t xml:space="preserve">ERP / SAP connectors</t>
  </si>
  <si>
    <t xml:space="preserve">Custom connector build available</t>
  </si>
  <si>
    <t xml:space="preserve">Payment gateways</t>
  </si>
  <si>
    <t xml:space="preserve">Add-on</t>
  </si>
  <si>
    <t xml:space="preserve">Stripe, PagSeguro, Asaas</t>
  </si>
  <si>
    <t xml:space="preserve">Custom API integrations</t>
  </si>
  <si>
    <t xml:space="preserve">REST + webhook + GraphQL</t>
  </si>
  <si>
    <t xml:space="preserve">── INFRASTRUCTURE ──</t>
  </si>
  <si>
    <t xml:space="preserve">Deployment</t>
  </si>
  <si>
    <t xml:space="preserve">Edge only</t>
  </si>
  <si>
    <t xml:space="preserve">Edge + Cloud</t>
  </si>
  <si>
    <t xml:space="preserve">Cloud (dedicated)</t>
  </si>
  <si>
    <t xml:space="preserve">Cloud / on-prem</t>
  </si>
  <si>
    <t xml:space="preserve">Edge = Palit Pandora</t>
  </si>
  <si>
    <t xml:space="preserve">SLA uptime</t>
  </si>
  <si>
    <t xml:space="preserve">Best effort</t>
  </si>
  <si>
    <t xml:space="preserve">99.0%</t>
  </si>
  <si>
    <t xml:space="preserve">99.5%</t>
  </si>
  <si>
    <t xml:space="preserve">99.9%</t>
  </si>
  <si>
    <t xml:space="preserve">Custom SLA</t>
  </si>
  <si>
    <t xml:space="preserve">Enterprise SLA backed by contract</t>
  </si>
  <si>
    <t xml:space="preserve">Data residency</t>
  </si>
  <si>
    <t xml:space="preserve">Brazil</t>
  </si>
  <si>
    <t xml:space="preserve">Brazil / Global</t>
  </si>
  <si>
    <t xml:space="preserve">Any region</t>
  </si>
  <si>
    <t xml:space="preserve">LGPD compliant</t>
  </si>
  <si>
    <t xml:space="preserve">Support</t>
  </si>
  <si>
    <t xml:space="preserve">Community</t>
  </si>
  <si>
    <t xml:space="preserve">Email 48h</t>
  </si>
  <si>
    <t xml:space="preserve">Email 24h</t>
  </si>
  <si>
    <t xml:space="preserve">Dedicated CSM</t>
  </si>
  <si>
    <t xml:space="preserve">SLA-backed</t>
  </si>
  <si>
    <t xml:space="preserve">Enterprise includes onboarding</t>
  </si>
  <si>
    <t xml:space="preserve">PrimeOsHub Module Catalog — Individually Licensable Tools</t>
  </si>
  <si>
    <t xml:space="preserve">Module ID</t>
  </si>
  <si>
    <t xml:space="preserve">Module Name</t>
  </si>
  <si>
    <t xml:space="preserve">Category</t>
  </si>
  <si>
    <t xml:space="preserve">Min Tier</t>
  </si>
  <si>
    <t xml:space="preserve">Unit Price (R$)</t>
  </si>
  <si>
    <t xml:space="preserve">Billing</t>
  </si>
  <si>
    <t xml:space="preserve">Market Verticals</t>
  </si>
  <si>
    <t xml:space="preserve">GitHub Repo</t>
  </si>
  <si>
    <t xml:space="preserve">Status</t>
  </si>
  <si>
    <t xml:space="preserve">MOD-001</t>
  </si>
  <si>
    <t xml:space="preserve">Clara Agent</t>
  </si>
  <si>
    <t xml:space="preserve">AI Agent</t>
  </si>
  <si>
    <t xml:space="preserve">97/mo</t>
  </si>
  <si>
    <t xml:space="preserve">Monthly</t>
  </si>
  <si>
    <t xml:space="preserve">All 11 verticals</t>
  </si>
  <si>
    <t xml:space="preserve">PrimeOsHub/clara-agent</t>
  </si>
  <si>
    <t xml:space="preserve">Live</t>
  </si>
  <si>
    <t xml:space="preserve">MOD-002</t>
  </si>
  <si>
    <t xml:space="preserve">Luzia Governance</t>
  </si>
  <si>
    <t xml:space="preserve">Included</t>
  </si>
  <si>
    <t xml:space="preserve">PrimeOsHub/luzia-agent</t>
  </si>
  <si>
    <t xml:space="preserve">MOD-003</t>
  </si>
  <si>
    <t xml:space="preserve">NemoClaw Sandbox</t>
  </si>
  <si>
    <t xml:space="preserve">AI Runtime</t>
  </si>
  <si>
    <t xml:space="preserve">PrimeOsHub/nemoclaw-config</t>
  </si>
  <si>
    <t xml:space="preserve">MOD-004</t>
  </si>
  <si>
    <t xml:space="preserve">OpenClaw Plugins</t>
  </si>
  <si>
    <t xml:space="preserve">AI Framework</t>
  </si>
  <si>
    <t xml:space="preserve">Included + custom</t>
  </si>
  <si>
    <t xml:space="preserve">Per plugin</t>
  </si>
  <si>
    <t xml:space="preserve">PrimeOsHub/openclaw-plugins</t>
  </si>
  <si>
    <t xml:space="preserve">MOD-005</t>
  </si>
  <si>
    <t xml:space="preserve">Finances Suite</t>
  </si>
  <si>
    <t xml:space="preserve">Department</t>
  </si>
  <si>
    <t xml:space="preserve">PrimeOsHub/module-finances</t>
  </si>
  <si>
    <t xml:space="preserve">MOD-006</t>
  </si>
  <si>
    <t xml:space="preserve">Marketing Suite</t>
  </si>
  <si>
    <t xml:space="preserve">PrimeOsHub/module-marketing</t>
  </si>
  <si>
    <t xml:space="preserve">MOD-007</t>
  </si>
  <si>
    <t xml:space="preserve">Sales Suite</t>
  </si>
  <si>
    <t xml:space="preserve">PrimeOsHub/module-sales</t>
  </si>
  <si>
    <t xml:space="preserve">MOD-008</t>
  </si>
  <si>
    <t xml:space="preserve">Operations Suite</t>
  </si>
  <si>
    <t xml:space="preserve">PrimeOsHub/module-operations</t>
  </si>
  <si>
    <t xml:space="preserve">MOD-009</t>
  </si>
  <si>
    <t xml:space="preserve">BMC Builder</t>
  </si>
  <si>
    <t xml:space="preserve">Core</t>
  </si>
  <si>
    <t xml:space="preserve">Starter</t>
  </si>
  <si>
    <t xml:space="preserve">PrimeOsHub/bmc-core</t>
  </si>
  <si>
    <t xml:space="preserve">MOD-010</t>
  </si>
  <si>
    <t xml:space="preserve">White-Label Branding</t>
  </si>
  <si>
    <t xml:space="preserve">Platform</t>
  </si>
  <si>
    <t xml:space="preserve">Annual</t>
  </si>
  <si>
    <t xml:space="preserve">PrimeOsHub/whitelabel-kit</t>
  </si>
  <si>
    <t xml:space="preserve">Planned</t>
  </si>
  <si>
    <t xml:space="preserve">MOD-011</t>
  </si>
  <si>
    <t xml:space="preserve">ERP Connector</t>
  </si>
  <si>
    <t xml:space="preserve">Integration</t>
  </si>
  <si>
    <t xml:space="preserve">Manufacturing, Logistics, Retail</t>
  </si>
  <si>
    <t xml:space="preserve">PrimeOsHub/erp-connector</t>
  </si>
  <si>
    <t xml:space="preserve">Roadmap</t>
  </si>
  <si>
    <t xml:space="preserve">MOD-012</t>
  </si>
  <si>
    <t xml:space="preserve">Payment Gateway</t>
  </si>
  <si>
    <t xml:space="preserve">97/mo add-on</t>
  </si>
  <si>
    <t xml:space="preserve">Retail, Services, Hospitality, Health</t>
  </si>
  <si>
    <t xml:space="preserve">PrimeOsHub/payments-module</t>
  </si>
  <si>
    <t xml:space="preserve">MOD-013</t>
  </si>
  <si>
    <t xml:space="preserve">Health Records</t>
  </si>
  <si>
    <t xml:space="preserve">Vertical</t>
  </si>
  <si>
    <t xml:space="preserve">197/mo</t>
  </si>
  <si>
    <t xml:space="preserve">Health</t>
  </si>
  <si>
    <t xml:space="preserve">PrimeOsHub/vertical-health</t>
  </si>
  <si>
    <t xml:space="preserve">MOD-014</t>
  </si>
  <si>
    <t xml:space="preserve">Agro Dashboard</t>
  </si>
  <si>
    <t xml:space="preserve">Agriculture</t>
  </si>
  <si>
    <t xml:space="preserve">PrimeOsHub/vertical-agro</t>
  </si>
  <si>
    <t xml:space="preserve">MOD-015</t>
  </si>
  <si>
    <t xml:space="preserve">Construction PM</t>
  </si>
  <si>
    <t xml:space="preserve">Construction</t>
  </si>
  <si>
    <t xml:space="preserve">PrimeOsHub/vertical-construction</t>
  </si>
  <si>
    <t xml:space="preserve">PrimeOsHub — 24-Month Revenue Projection Model</t>
  </si>
  <si>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</si>
  <si>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</si>
  <si>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</si>
  <si>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</si>
  <si>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</si>
  <si>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</si>
  <si>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</si>
  <si>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</si>
  <si>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</si>
  <si>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</si>
  <si>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</si>
  <si>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</si>
  <si>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</si>
  <si>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 Y1</t>
  </si>
  <si>
    <t xml:space="preserve">New orgs / month</t>
  </si>
  <si>
    <t xml:space="preserve">Cumulative orgs</t>
  </si>
  <si>
    <t xml:space="preserve">Avg MRR per org (R$)</t>
  </si>
  <si>
    <t xml:space="preserve">Gross MRR (R$)</t>
  </si>
  <si>
    <t xml:space="preserve">Churn rate</t>
  </si>
  <si>
    <t xml:space="preserve">Net MRR (R$)</t>
  </si>
  <si>
    <t xml:space="preserve">Clara add-on revenue</t>
  </si>
  <si>
    <t xml:space="preserve">Total Gross Revenue</t>
  </si>
  <si>
    <t xml:space="preserve">Infra cost (R$)</t>
  </si>
  <si>
    <t xml:space="preserve">Gross Profit (R$)</t>
  </si>
  <si>
    <t xml:space="preserve">Gross Margin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</si>
</sst>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D9E75"/>
      <name val="Arial"/>
      <family val="0"/>
      <charset val="1"/>
    </font>
    <font>
      <sz val="9"/>
      <color rgb="FFA32D2D"/>
      <name val="Arial"/>
      <family val="0"/>
      <charset val="1"/>
    </font>
    <font>
      <b val="true"/>
      <sz val="9"/>
      <color rgb="FF3B6D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185FA5"/>
      <name val="Arial"/>
      <family val="0"/>
      <charset val="1"/>
    </font>
    <font>
      <sz val="9"/>
      <color rgb="FFBA7517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444441"/>
        <bgColor rgb="FF333399"/>
      </patternFill>
    </fill>
    <fill>
      <patternFill patternType="solid">
        <fgColor rgb="FFF1EFE8"/>
        <bgColor rgb="FFFAECE7"/>
      </patternFill>
    </fill>
    <fill>
      <patternFill patternType="solid">
        <fgColor rgb="FF3B6D11"/>
        <bgColor rgb="FF444441"/>
      </patternFill>
    </fill>
    <fill>
      <patternFill patternType="solid">
        <fgColor rgb="FF185FA5"/>
        <bgColor rgb="FF008080"/>
      </patternFill>
    </fill>
    <fill>
      <patternFill patternType="solid">
        <fgColor rgb="FFD85A30"/>
        <bgColor rgb="FFBA7517"/>
      </patternFill>
    </fill>
    <fill>
      <patternFill patternType="solid">
        <fgColor rgb="FFF5FAFF"/>
        <bgColor rgb="FFFFFFFF"/>
      </patternFill>
    </fill>
    <fill>
      <patternFill patternType="solid">
        <fgColor rgb="FFEAF3DE"/>
        <bgColor rgb="FFF1EFE8"/>
      </patternFill>
    </fill>
    <fill>
      <patternFill patternType="solid">
        <fgColor rgb="FFE6F1FB"/>
        <bgColor rgb="FFE1F5EE"/>
      </patternFill>
    </fill>
    <fill>
      <patternFill patternType="solid">
        <fgColor rgb="FFE1F5EE"/>
        <bgColor rgb="FFE6F1FB"/>
      </patternFill>
    </fill>
    <fill>
      <patternFill patternType="solid">
        <fgColor rgb="FFFAECE7"/>
        <bgColor rgb="FFFAEEDA"/>
      </patternFill>
    </fill>
    <fill>
      <patternFill patternType="solid">
        <fgColor rgb="FFFFFFFF"/>
        <bgColor rgb="FFF5FAFF"/>
      </patternFill>
    </fill>
    <fill>
      <patternFill patternType="solid">
        <fgColor rgb="FFFAEEDA"/>
        <bgColor rgb="FFFAEC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CCCCCC"/>
      <rgbColor rgb="FF808080"/>
      <rgbColor rgb="FF9999FF"/>
      <rgbColor rgb="FF993366"/>
      <rgbColor rgb="FFFAEEDA"/>
      <rgbColor rgb="FFE1F5EE"/>
      <rgbColor rgb="FF660066"/>
      <rgbColor rgb="FFFF8080"/>
      <rgbColor rgb="FF185FA5"/>
      <rgbColor rgb="FFF1E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AECE7"/>
      <rgbColor rgb="FF99CCFF"/>
      <rgbColor rgb="FFFF99CC"/>
      <rgbColor rgb="FFCC99FF"/>
      <rgbColor rgb="FFF5FAFF"/>
      <rgbColor rgb="FF3366FF"/>
      <rgbColor rgb="FF33CCCC"/>
      <rgbColor rgb="FF99CC00"/>
      <rgbColor rgb="FFFFCC00"/>
      <rgbColor rgb="FFFF9900"/>
      <rgbColor rgb="FFD85A30"/>
      <rgbColor rgb="FF666699"/>
      <rgbColor rgb="FF969696"/>
      <rgbColor rgb="FF003366"/>
      <rgbColor rgb="FF1D9E75"/>
      <rgbColor rgb="FF003300"/>
      <rgbColor rgb="FF1A1A1A"/>
      <rgbColor rgb="FFA32D2D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6"/>
    <col collapsed="false" customWidth="true" hidden="false" outlineLevel="0" max="7" min="7" style="1" width="36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3.5" hidden="false" customHeight="true" outlineLevel="0" collapsed="false"/>
    <row r="3" customFormat="false" ht="21.75" hidden="false" customHeight="true" outlineLevel="0" collapsed="false">
      <c r="A3" s="3" t="s">
        <v>1</v>
      </c>
      <c r="B3" s="4" t="s">
        <v>2</v>
      </c>
      <c r="C3" s="5" t="s">
        <v>3</v>
      </c>
      <c r="D3" s="6" t="s">
        <v>4</v>
      </c>
      <c r="E3" s="7" t="s">
        <v>5</v>
      </c>
      <c r="F3" s="8" t="s">
        <v>6</v>
      </c>
      <c r="G3" s="3" t="s">
        <v>7</v>
      </c>
    </row>
    <row r="4" customFormat="false" ht="18.75" hidden="false" customHeight="true" outlineLevel="0" collapsed="false">
      <c r="A4" s="9" t="s">
        <v>8</v>
      </c>
      <c r="B4" s="10" t="s">
        <v>9</v>
      </c>
      <c r="C4" s="11" t="s">
        <v>10</v>
      </c>
      <c r="D4" s="12" t="s">
        <v>11</v>
      </c>
      <c r="E4" s="13" t="s">
        <v>12</v>
      </c>
      <c r="F4" s="14" t="s">
        <v>13</v>
      </c>
      <c r="G4" s="14" t="s">
        <v>14</v>
      </c>
    </row>
    <row r="5" customFormat="false" ht="18.75" hidden="false" customHeight="true" outlineLevel="0" collapsed="false">
      <c r="A5" s="15" t="s">
        <v>15</v>
      </c>
      <c r="B5" s="10" t="s">
        <v>16</v>
      </c>
      <c r="C5" s="11" t="s">
        <v>17</v>
      </c>
      <c r="D5" s="12" t="s">
        <v>18</v>
      </c>
      <c r="E5" s="13" t="s">
        <v>5</v>
      </c>
      <c r="F5" s="14" t="s">
        <v>19</v>
      </c>
      <c r="G5" s="14" t="s">
        <v>20</v>
      </c>
    </row>
    <row r="6" customFormat="false" ht="18.75" hidden="false" customHeight="true" outlineLevel="0" collapsed="false">
      <c r="A6" s="9"/>
      <c r="B6" s="10"/>
      <c r="C6" s="11"/>
      <c r="D6" s="12"/>
      <c r="E6" s="13"/>
      <c r="F6" s="14"/>
      <c r="G6" s="14"/>
    </row>
    <row r="7" customFormat="false" ht="18.75" hidden="false" customHeight="true" outlineLevel="0" collapsed="false">
      <c r="A7" s="16" t="s">
        <v>21</v>
      </c>
      <c r="B7" s="16"/>
      <c r="C7" s="16"/>
      <c r="D7" s="16"/>
      <c r="E7" s="16"/>
      <c r="F7" s="16"/>
      <c r="G7" s="16"/>
    </row>
    <row r="8" customFormat="false" ht="18.75" hidden="false" customHeight="true" outlineLevel="0" collapsed="false">
      <c r="A8" s="9" t="s">
        <v>22</v>
      </c>
      <c r="B8" s="10" t="s">
        <v>23</v>
      </c>
      <c r="C8" s="11" t="s">
        <v>24</v>
      </c>
      <c r="D8" s="12" t="s">
        <v>24</v>
      </c>
      <c r="E8" s="13" t="s">
        <v>24</v>
      </c>
      <c r="F8" s="14" t="s">
        <v>24</v>
      </c>
      <c r="G8" s="14" t="s">
        <v>25</v>
      </c>
    </row>
    <row r="9" customFormat="false" ht="18.75" hidden="false" customHeight="true" outlineLevel="0" collapsed="false">
      <c r="A9" s="15" t="s">
        <v>26</v>
      </c>
      <c r="B9" s="10" t="s">
        <v>27</v>
      </c>
      <c r="C9" s="11" t="s">
        <v>27</v>
      </c>
      <c r="D9" s="12" t="s">
        <v>28</v>
      </c>
      <c r="E9" s="13" t="s">
        <v>29</v>
      </c>
      <c r="F9" s="14" t="s">
        <v>29</v>
      </c>
      <c r="G9" s="14" t="s">
        <v>30</v>
      </c>
    </row>
    <row r="10" customFormat="false" ht="18.75" hidden="false" customHeight="true" outlineLevel="0" collapsed="false">
      <c r="A10" s="9" t="s">
        <v>31</v>
      </c>
      <c r="B10" s="10" t="s">
        <v>27</v>
      </c>
      <c r="C10" s="11" t="s">
        <v>32</v>
      </c>
      <c r="D10" s="12" t="s">
        <v>33</v>
      </c>
      <c r="E10" s="13" t="s">
        <v>29</v>
      </c>
      <c r="F10" s="14" t="s">
        <v>29</v>
      </c>
      <c r="G10" s="14"/>
    </row>
    <row r="11" customFormat="false" ht="18.75" hidden="false" customHeight="true" outlineLevel="0" collapsed="false">
      <c r="A11" s="15" t="s">
        <v>34</v>
      </c>
      <c r="B11" s="10" t="s">
        <v>35</v>
      </c>
      <c r="C11" s="11" t="s">
        <v>36</v>
      </c>
      <c r="D11" s="12" t="s">
        <v>37</v>
      </c>
      <c r="E11" s="13" t="s">
        <v>29</v>
      </c>
      <c r="F11" s="14" t="s">
        <v>29</v>
      </c>
      <c r="G11" s="14"/>
    </row>
    <row r="12" customFormat="false" ht="18.75" hidden="false" customHeight="true" outlineLevel="0" collapsed="false">
      <c r="A12" s="9"/>
      <c r="B12" s="10"/>
      <c r="C12" s="11"/>
      <c r="D12" s="12"/>
      <c r="E12" s="13"/>
      <c r="F12" s="14"/>
      <c r="G12" s="14"/>
    </row>
    <row r="13" customFormat="false" ht="18.75" hidden="false" customHeight="true" outlineLevel="0" collapsed="false">
      <c r="A13" s="16" t="s">
        <v>38</v>
      </c>
      <c r="B13" s="16"/>
      <c r="C13" s="16"/>
      <c r="D13" s="16"/>
      <c r="E13" s="16"/>
      <c r="F13" s="16"/>
      <c r="G13" s="16"/>
    </row>
    <row r="14" customFormat="false" ht="18.75" hidden="false" customHeight="true" outlineLevel="0" collapsed="false">
      <c r="A14" s="9" t="s">
        <v>39</v>
      </c>
      <c r="B14" s="17" t="s">
        <v>40</v>
      </c>
      <c r="C14" s="11" t="s">
        <v>41</v>
      </c>
      <c r="D14" s="12" t="s">
        <v>42</v>
      </c>
      <c r="E14" s="13" t="s">
        <v>43</v>
      </c>
      <c r="F14" s="14" t="s">
        <v>44</v>
      </c>
      <c r="G14" s="14" t="s">
        <v>45</v>
      </c>
    </row>
    <row r="15" customFormat="false" ht="18.75" hidden="false" customHeight="true" outlineLevel="0" collapsed="false">
      <c r="A15" s="15" t="s">
        <v>46</v>
      </c>
      <c r="B15" s="17" t="s">
        <v>40</v>
      </c>
      <c r="C15" s="18" t="s">
        <v>40</v>
      </c>
      <c r="D15" s="12" t="s">
        <v>42</v>
      </c>
      <c r="E15" s="13" t="s">
        <v>24</v>
      </c>
      <c r="F15" s="14" t="s">
        <v>24</v>
      </c>
      <c r="G15" s="14" t="s">
        <v>47</v>
      </c>
    </row>
    <row r="16" customFormat="false" ht="18.75" hidden="false" customHeight="true" outlineLevel="0" collapsed="false">
      <c r="A16" s="9" t="s">
        <v>48</v>
      </c>
      <c r="B16" s="17" t="s">
        <v>40</v>
      </c>
      <c r="C16" s="18" t="s">
        <v>40</v>
      </c>
      <c r="D16" s="12" t="s">
        <v>42</v>
      </c>
      <c r="E16" s="13" t="s">
        <v>24</v>
      </c>
      <c r="F16" s="14" t="s">
        <v>24</v>
      </c>
      <c r="G16" s="14" t="s">
        <v>49</v>
      </c>
    </row>
    <row r="17" customFormat="false" ht="18.75" hidden="false" customHeight="true" outlineLevel="0" collapsed="false">
      <c r="A17" s="15" t="s">
        <v>50</v>
      </c>
      <c r="B17" s="17" t="s">
        <v>40</v>
      </c>
      <c r="C17" s="18" t="s">
        <v>40</v>
      </c>
      <c r="D17" s="12" t="s">
        <v>51</v>
      </c>
      <c r="E17" s="13" t="s">
        <v>29</v>
      </c>
      <c r="F17" s="14" t="s">
        <v>52</v>
      </c>
      <c r="G17" s="14" t="s">
        <v>53</v>
      </c>
    </row>
    <row r="18" customFormat="false" ht="18.75" hidden="false" customHeight="true" outlineLevel="0" collapsed="false">
      <c r="A18" s="9"/>
      <c r="B18" s="10"/>
      <c r="C18" s="11"/>
      <c r="D18" s="12"/>
      <c r="E18" s="13"/>
      <c r="F18" s="14"/>
      <c r="G18" s="14"/>
    </row>
    <row r="19" customFormat="false" ht="18.75" hidden="false" customHeight="true" outlineLevel="0" collapsed="false">
      <c r="A19" s="16" t="s">
        <v>54</v>
      </c>
      <c r="B19" s="16"/>
      <c r="C19" s="16"/>
      <c r="D19" s="16"/>
      <c r="E19" s="16"/>
      <c r="F19" s="16"/>
      <c r="G19" s="16"/>
    </row>
    <row r="20" customFormat="false" ht="18.75" hidden="false" customHeight="true" outlineLevel="0" collapsed="false">
      <c r="A20" s="9" t="s">
        <v>55</v>
      </c>
      <c r="B20" s="17" t="s">
        <v>40</v>
      </c>
      <c r="C20" s="19" t="s">
        <v>56</v>
      </c>
      <c r="D20" s="20" t="s">
        <v>56</v>
      </c>
      <c r="E20" s="21" t="s">
        <v>56</v>
      </c>
      <c r="F20" s="22" t="s">
        <v>56</v>
      </c>
      <c r="G20" s="14" t="s">
        <v>57</v>
      </c>
    </row>
    <row r="21" customFormat="false" ht="18.75" hidden="false" customHeight="true" outlineLevel="0" collapsed="false">
      <c r="A21" s="15" t="s">
        <v>58</v>
      </c>
      <c r="B21" s="17" t="s">
        <v>40</v>
      </c>
      <c r="C21" s="19" t="s">
        <v>56</v>
      </c>
      <c r="D21" s="20" t="s">
        <v>56</v>
      </c>
      <c r="E21" s="21" t="s">
        <v>56</v>
      </c>
      <c r="F21" s="22" t="s">
        <v>56</v>
      </c>
      <c r="G21" s="14" t="s">
        <v>59</v>
      </c>
    </row>
    <row r="22" customFormat="false" ht="18.75" hidden="false" customHeight="true" outlineLevel="0" collapsed="false">
      <c r="A22" s="9" t="s">
        <v>60</v>
      </c>
      <c r="B22" s="17" t="s">
        <v>40</v>
      </c>
      <c r="C22" s="19" t="s">
        <v>56</v>
      </c>
      <c r="D22" s="20" t="s">
        <v>56</v>
      </c>
      <c r="E22" s="21" t="s">
        <v>56</v>
      </c>
      <c r="F22" s="22" t="s">
        <v>56</v>
      </c>
      <c r="G22" s="14" t="s">
        <v>61</v>
      </c>
    </row>
    <row r="23" customFormat="false" ht="18.75" hidden="false" customHeight="true" outlineLevel="0" collapsed="false">
      <c r="A23" s="15" t="s">
        <v>62</v>
      </c>
      <c r="B23" s="17" t="s">
        <v>40</v>
      </c>
      <c r="C23" s="19" t="s">
        <v>56</v>
      </c>
      <c r="D23" s="20" t="s">
        <v>56</v>
      </c>
      <c r="E23" s="21" t="s">
        <v>56</v>
      </c>
      <c r="F23" s="22" t="s">
        <v>56</v>
      </c>
      <c r="G23" s="14" t="s">
        <v>63</v>
      </c>
    </row>
    <row r="24" customFormat="false" ht="18.75" hidden="false" customHeight="true" outlineLevel="0" collapsed="false">
      <c r="A24" s="9"/>
      <c r="B24" s="10"/>
      <c r="C24" s="11"/>
      <c r="D24" s="12"/>
      <c r="E24" s="13"/>
      <c r="F24" s="14"/>
      <c r="G24" s="14"/>
    </row>
    <row r="25" customFormat="false" ht="18.75" hidden="false" customHeight="true" outlineLevel="0" collapsed="false">
      <c r="A25" s="16" t="s">
        <v>64</v>
      </c>
      <c r="B25" s="16"/>
      <c r="C25" s="16"/>
      <c r="D25" s="16"/>
      <c r="E25" s="16"/>
      <c r="F25" s="16"/>
      <c r="G25" s="16"/>
    </row>
    <row r="26" customFormat="false" ht="18.75" hidden="false" customHeight="true" outlineLevel="0" collapsed="false">
      <c r="A26" s="9" t="s">
        <v>65</v>
      </c>
      <c r="B26" s="17" t="s">
        <v>40</v>
      </c>
      <c r="C26" s="18" t="s">
        <v>40</v>
      </c>
      <c r="D26" s="20" t="s">
        <v>56</v>
      </c>
      <c r="E26" s="21" t="s">
        <v>56</v>
      </c>
      <c r="F26" s="22" t="s">
        <v>56</v>
      </c>
      <c r="G26" s="14" t="s">
        <v>66</v>
      </c>
    </row>
    <row r="27" customFormat="false" ht="18.75" hidden="false" customHeight="true" outlineLevel="0" collapsed="false">
      <c r="A27" s="15" t="s">
        <v>67</v>
      </c>
      <c r="B27" s="17" t="s">
        <v>40</v>
      </c>
      <c r="C27" s="18" t="s">
        <v>40</v>
      </c>
      <c r="D27" s="20" t="s">
        <v>56</v>
      </c>
      <c r="E27" s="21" t="s">
        <v>56</v>
      </c>
      <c r="F27" s="22" t="s">
        <v>56</v>
      </c>
      <c r="G27" s="14" t="s">
        <v>68</v>
      </c>
    </row>
    <row r="28" customFormat="false" ht="18.75" hidden="false" customHeight="true" outlineLevel="0" collapsed="false">
      <c r="A28" s="9" t="s">
        <v>69</v>
      </c>
      <c r="B28" s="17" t="s">
        <v>40</v>
      </c>
      <c r="C28" s="18" t="s">
        <v>40</v>
      </c>
      <c r="D28" s="20" t="s">
        <v>56</v>
      </c>
      <c r="E28" s="21" t="s">
        <v>56</v>
      </c>
      <c r="F28" s="22" t="s">
        <v>56</v>
      </c>
      <c r="G28" s="14" t="s">
        <v>70</v>
      </c>
    </row>
    <row r="29" customFormat="false" ht="18.75" hidden="false" customHeight="true" outlineLevel="0" collapsed="false">
      <c r="A29" s="15" t="s">
        <v>71</v>
      </c>
      <c r="B29" s="17" t="s">
        <v>40</v>
      </c>
      <c r="C29" s="18" t="s">
        <v>40</v>
      </c>
      <c r="D29" s="23" t="s">
        <v>40</v>
      </c>
      <c r="E29" s="21" t="s">
        <v>56</v>
      </c>
      <c r="F29" s="22" t="s">
        <v>56</v>
      </c>
      <c r="G29" s="14" t="s">
        <v>72</v>
      </c>
    </row>
    <row r="30" customFormat="false" ht="18.75" hidden="false" customHeight="true" outlineLevel="0" collapsed="false">
      <c r="A30" s="9" t="s">
        <v>73</v>
      </c>
      <c r="B30" s="17" t="s">
        <v>40</v>
      </c>
      <c r="C30" s="11" t="s">
        <v>74</v>
      </c>
      <c r="D30" s="20" t="s">
        <v>56</v>
      </c>
      <c r="E30" s="21" t="s">
        <v>56</v>
      </c>
      <c r="F30" s="22" t="s">
        <v>56</v>
      </c>
      <c r="G30" s="14" t="s">
        <v>75</v>
      </c>
    </row>
    <row r="31" customFormat="false" ht="18.75" hidden="false" customHeight="true" outlineLevel="0" collapsed="false">
      <c r="A31" s="15" t="s">
        <v>76</v>
      </c>
      <c r="B31" s="17" t="s">
        <v>40</v>
      </c>
      <c r="C31" s="18" t="s">
        <v>40</v>
      </c>
      <c r="D31" s="23" t="s">
        <v>40</v>
      </c>
      <c r="E31" s="21" t="s">
        <v>56</v>
      </c>
      <c r="F31" s="22" t="s">
        <v>56</v>
      </c>
      <c r="G31" s="14" t="s">
        <v>77</v>
      </c>
    </row>
    <row r="32" customFormat="false" ht="18.75" hidden="false" customHeight="true" outlineLevel="0" collapsed="false">
      <c r="A32" s="9"/>
      <c r="B32" s="10"/>
      <c r="C32" s="11"/>
      <c r="D32" s="12"/>
      <c r="E32" s="13"/>
      <c r="F32" s="14"/>
      <c r="G32" s="14"/>
    </row>
    <row r="33" customFormat="false" ht="18.75" hidden="false" customHeight="true" outlineLevel="0" collapsed="false">
      <c r="A33" s="16" t="s">
        <v>78</v>
      </c>
      <c r="B33" s="16"/>
      <c r="C33" s="16"/>
      <c r="D33" s="16"/>
      <c r="E33" s="16"/>
      <c r="F33" s="16"/>
      <c r="G33" s="16"/>
    </row>
    <row r="34" customFormat="false" ht="18.75" hidden="false" customHeight="true" outlineLevel="0" collapsed="false">
      <c r="A34" s="9" t="s">
        <v>79</v>
      </c>
      <c r="B34" s="10" t="s">
        <v>80</v>
      </c>
      <c r="C34" s="11" t="s">
        <v>80</v>
      </c>
      <c r="D34" s="12" t="s">
        <v>81</v>
      </c>
      <c r="E34" s="13" t="s">
        <v>82</v>
      </c>
      <c r="F34" s="14" t="s">
        <v>83</v>
      </c>
      <c r="G34" s="14" t="s">
        <v>84</v>
      </c>
    </row>
    <row r="35" customFormat="false" ht="18.75" hidden="false" customHeight="true" outlineLevel="0" collapsed="false">
      <c r="A35" s="15" t="s">
        <v>85</v>
      </c>
      <c r="B35" s="10" t="s">
        <v>86</v>
      </c>
      <c r="C35" s="11" t="s">
        <v>87</v>
      </c>
      <c r="D35" s="12" t="s">
        <v>88</v>
      </c>
      <c r="E35" s="13" t="s">
        <v>89</v>
      </c>
      <c r="F35" s="14" t="s">
        <v>90</v>
      </c>
      <c r="G35" s="14" t="s">
        <v>91</v>
      </c>
    </row>
    <row r="36" customFormat="false" ht="18.75" hidden="false" customHeight="true" outlineLevel="0" collapsed="false">
      <c r="A36" s="9" t="s">
        <v>92</v>
      </c>
      <c r="B36" s="10" t="s">
        <v>93</v>
      </c>
      <c r="C36" s="11" t="s">
        <v>93</v>
      </c>
      <c r="D36" s="12" t="s">
        <v>94</v>
      </c>
      <c r="E36" s="13" t="s">
        <v>95</v>
      </c>
      <c r="F36" s="14" t="s">
        <v>95</v>
      </c>
      <c r="G36" s="14" t="s">
        <v>96</v>
      </c>
    </row>
    <row r="37" customFormat="false" ht="18.75" hidden="false" customHeight="true" outlineLevel="0" collapsed="false">
      <c r="A37" s="15" t="s">
        <v>97</v>
      </c>
      <c r="B37" s="10" t="s">
        <v>98</v>
      </c>
      <c r="C37" s="11" t="s">
        <v>99</v>
      </c>
      <c r="D37" s="12" t="s">
        <v>100</v>
      </c>
      <c r="E37" s="13" t="s">
        <v>101</v>
      </c>
      <c r="F37" s="14" t="s">
        <v>102</v>
      </c>
      <c r="G37" s="14" t="s">
        <v>103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40"/>
    <col collapsed="false" customWidth="true" hidden="false" outlineLevel="0" max="8" min="8" style="1" width="30"/>
    <col collapsed="false" customWidth="true" hidden="false" outlineLevel="0" max="9" min="9" style="1" width="12"/>
  </cols>
  <sheetData>
    <row r="1" customFormat="false" ht="31.5" hidden="false" customHeight="true" outlineLevel="0" collapsed="false">
      <c r="A1" s="24" t="s">
        <v>104</v>
      </c>
      <c r="B1" s="24"/>
      <c r="C1" s="24"/>
      <c r="D1" s="24"/>
      <c r="E1" s="24"/>
      <c r="F1" s="24"/>
      <c r="G1" s="24"/>
      <c r="H1" s="24"/>
      <c r="I1" s="24"/>
    </row>
    <row r="2" customFormat="false" ht="15" hidden="false" customHeight="true" outlineLevel="0" collapsed="false">
      <c r="A2" s="3" t="s">
        <v>105</v>
      </c>
      <c r="B2" s="3" t="s">
        <v>106</v>
      </c>
      <c r="C2" s="3" t="s">
        <v>107</v>
      </c>
      <c r="D2" s="3" t="s">
        <v>108</v>
      </c>
      <c r="E2" s="3" t="s">
        <v>109</v>
      </c>
      <c r="F2" s="3" t="s">
        <v>110</v>
      </c>
      <c r="G2" s="3" t="s">
        <v>111</v>
      </c>
      <c r="H2" s="3" t="s">
        <v>112</v>
      </c>
      <c r="I2" s="3" t="s">
        <v>113</v>
      </c>
    </row>
    <row r="3" customFormat="false" ht="19.5" hidden="false" customHeight="true" outlineLevel="0" collapsed="false">
      <c r="A3" s="25" t="s">
        <v>114</v>
      </c>
      <c r="B3" s="26" t="s">
        <v>115</v>
      </c>
      <c r="C3" s="26" t="s">
        <v>116</v>
      </c>
      <c r="D3" s="25" t="s">
        <v>4</v>
      </c>
      <c r="E3" s="25" t="s">
        <v>117</v>
      </c>
      <c r="F3" s="25" t="s">
        <v>118</v>
      </c>
      <c r="G3" s="26" t="s">
        <v>119</v>
      </c>
      <c r="H3" s="26" t="s">
        <v>120</v>
      </c>
      <c r="I3" s="19" t="s">
        <v>121</v>
      </c>
    </row>
    <row r="4" customFormat="false" ht="19.5" hidden="false" customHeight="true" outlineLevel="0" collapsed="false">
      <c r="A4" s="11" t="s">
        <v>122</v>
      </c>
      <c r="B4" s="27" t="s">
        <v>123</v>
      </c>
      <c r="C4" s="27" t="s">
        <v>116</v>
      </c>
      <c r="D4" s="11" t="s">
        <v>4</v>
      </c>
      <c r="E4" s="11" t="s">
        <v>124</v>
      </c>
      <c r="F4" s="11" t="s">
        <v>118</v>
      </c>
      <c r="G4" s="27" t="s">
        <v>119</v>
      </c>
      <c r="H4" s="27" t="s">
        <v>125</v>
      </c>
      <c r="I4" s="19" t="s">
        <v>121</v>
      </c>
    </row>
    <row r="5" customFormat="false" ht="19.5" hidden="false" customHeight="true" outlineLevel="0" collapsed="false">
      <c r="A5" s="25" t="s">
        <v>126</v>
      </c>
      <c r="B5" s="26" t="s">
        <v>127</v>
      </c>
      <c r="C5" s="26" t="s">
        <v>128</v>
      </c>
      <c r="D5" s="25" t="s">
        <v>4</v>
      </c>
      <c r="E5" s="25" t="s">
        <v>124</v>
      </c>
      <c r="F5" s="25" t="s">
        <v>118</v>
      </c>
      <c r="G5" s="26" t="s">
        <v>119</v>
      </c>
      <c r="H5" s="26" t="s">
        <v>129</v>
      </c>
      <c r="I5" s="19" t="s">
        <v>121</v>
      </c>
    </row>
    <row r="6" customFormat="false" ht="19.5" hidden="false" customHeight="true" outlineLevel="0" collapsed="false">
      <c r="A6" s="11" t="s">
        <v>130</v>
      </c>
      <c r="B6" s="27" t="s">
        <v>131</v>
      </c>
      <c r="C6" s="27" t="s">
        <v>132</v>
      </c>
      <c r="D6" s="11" t="s">
        <v>4</v>
      </c>
      <c r="E6" s="11" t="s">
        <v>133</v>
      </c>
      <c r="F6" s="11" t="s">
        <v>134</v>
      </c>
      <c r="G6" s="27" t="s">
        <v>119</v>
      </c>
      <c r="H6" s="27" t="s">
        <v>135</v>
      </c>
      <c r="I6" s="19" t="s">
        <v>121</v>
      </c>
    </row>
    <row r="7" customFormat="false" ht="19.5" hidden="false" customHeight="true" outlineLevel="0" collapsed="false">
      <c r="A7" s="25" t="s">
        <v>136</v>
      </c>
      <c r="B7" s="26" t="s">
        <v>137</v>
      </c>
      <c r="C7" s="26" t="s">
        <v>138</v>
      </c>
      <c r="D7" s="25" t="s">
        <v>3</v>
      </c>
      <c r="E7" s="25" t="s">
        <v>124</v>
      </c>
      <c r="F7" s="25" t="s">
        <v>118</v>
      </c>
      <c r="G7" s="26" t="s">
        <v>119</v>
      </c>
      <c r="H7" s="26" t="s">
        <v>139</v>
      </c>
      <c r="I7" s="19" t="s">
        <v>121</v>
      </c>
    </row>
    <row r="8" customFormat="false" ht="19.5" hidden="false" customHeight="true" outlineLevel="0" collapsed="false">
      <c r="A8" s="11" t="s">
        <v>140</v>
      </c>
      <c r="B8" s="27" t="s">
        <v>141</v>
      </c>
      <c r="C8" s="27" t="s">
        <v>138</v>
      </c>
      <c r="D8" s="11" t="s">
        <v>3</v>
      </c>
      <c r="E8" s="11" t="s">
        <v>124</v>
      </c>
      <c r="F8" s="11" t="s">
        <v>118</v>
      </c>
      <c r="G8" s="27" t="s">
        <v>119</v>
      </c>
      <c r="H8" s="27" t="s">
        <v>142</v>
      </c>
      <c r="I8" s="19" t="s">
        <v>121</v>
      </c>
    </row>
    <row r="9" customFormat="false" ht="19.5" hidden="false" customHeight="true" outlineLevel="0" collapsed="false">
      <c r="A9" s="25" t="s">
        <v>143</v>
      </c>
      <c r="B9" s="26" t="s">
        <v>144</v>
      </c>
      <c r="C9" s="26" t="s">
        <v>138</v>
      </c>
      <c r="D9" s="25" t="s">
        <v>3</v>
      </c>
      <c r="E9" s="25" t="s">
        <v>124</v>
      </c>
      <c r="F9" s="25" t="s">
        <v>118</v>
      </c>
      <c r="G9" s="26" t="s">
        <v>119</v>
      </c>
      <c r="H9" s="26" t="s">
        <v>145</v>
      </c>
      <c r="I9" s="19" t="s">
        <v>121</v>
      </c>
    </row>
    <row r="10" customFormat="false" ht="19.5" hidden="false" customHeight="true" outlineLevel="0" collapsed="false">
      <c r="A10" s="11" t="s">
        <v>146</v>
      </c>
      <c r="B10" s="27" t="s">
        <v>147</v>
      </c>
      <c r="C10" s="27" t="s">
        <v>138</v>
      </c>
      <c r="D10" s="11" t="s">
        <v>3</v>
      </c>
      <c r="E10" s="11" t="s">
        <v>124</v>
      </c>
      <c r="F10" s="11" t="s">
        <v>118</v>
      </c>
      <c r="G10" s="27" t="s">
        <v>119</v>
      </c>
      <c r="H10" s="27" t="s">
        <v>148</v>
      </c>
      <c r="I10" s="19" t="s">
        <v>121</v>
      </c>
    </row>
    <row r="11" customFormat="false" ht="19.5" hidden="false" customHeight="true" outlineLevel="0" collapsed="false">
      <c r="A11" s="25" t="s">
        <v>149</v>
      </c>
      <c r="B11" s="26" t="s">
        <v>150</v>
      </c>
      <c r="C11" s="26" t="s">
        <v>151</v>
      </c>
      <c r="D11" s="25" t="s">
        <v>152</v>
      </c>
      <c r="E11" s="25" t="s">
        <v>124</v>
      </c>
      <c r="F11" s="25" t="s">
        <v>40</v>
      </c>
      <c r="G11" s="26" t="s">
        <v>119</v>
      </c>
      <c r="H11" s="26" t="s">
        <v>153</v>
      </c>
      <c r="I11" s="19" t="s">
        <v>121</v>
      </c>
    </row>
    <row r="12" customFormat="false" ht="19.5" hidden="false" customHeight="true" outlineLevel="0" collapsed="false">
      <c r="A12" s="11" t="s">
        <v>154</v>
      </c>
      <c r="B12" s="27" t="s">
        <v>155</v>
      </c>
      <c r="C12" s="27" t="s">
        <v>156</v>
      </c>
      <c r="D12" s="11" t="s">
        <v>6</v>
      </c>
      <c r="E12" s="11" t="s">
        <v>13</v>
      </c>
      <c r="F12" s="11" t="s">
        <v>157</v>
      </c>
      <c r="G12" s="27" t="s">
        <v>119</v>
      </c>
      <c r="H12" s="27" t="s">
        <v>158</v>
      </c>
      <c r="I12" s="28" t="s">
        <v>159</v>
      </c>
    </row>
    <row r="13" customFormat="false" ht="19.5" hidden="false" customHeight="true" outlineLevel="0" collapsed="false">
      <c r="A13" s="25" t="s">
        <v>160</v>
      </c>
      <c r="B13" s="26" t="s">
        <v>161</v>
      </c>
      <c r="C13" s="26" t="s">
        <v>162</v>
      </c>
      <c r="D13" s="25" t="s">
        <v>5</v>
      </c>
      <c r="E13" s="25" t="s">
        <v>13</v>
      </c>
      <c r="F13" s="25" t="s">
        <v>157</v>
      </c>
      <c r="G13" s="26" t="s">
        <v>163</v>
      </c>
      <c r="H13" s="26" t="s">
        <v>164</v>
      </c>
      <c r="I13" s="29" t="s">
        <v>165</v>
      </c>
    </row>
    <row r="14" customFormat="false" ht="19.5" hidden="false" customHeight="true" outlineLevel="0" collapsed="false">
      <c r="A14" s="11" t="s">
        <v>166</v>
      </c>
      <c r="B14" s="27" t="s">
        <v>167</v>
      </c>
      <c r="C14" s="27" t="s">
        <v>162</v>
      </c>
      <c r="D14" s="11" t="s">
        <v>3</v>
      </c>
      <c r="E14" s="11" t="s">
        <v>168</v>
      </c>
      <c r="F14" s="11" t="s">
        <v>118</v>
      </c>
      <c r="G14" s="27" t="s">
        <v>169</v>
      </c>
      <c r="H14" s="27" t="s">
        <v>170</v>
      </c>
      <c r="I14" s="29" t="s">
        <v>165</v>
      </c>
    </row>
    <row r="15" customFormat="false" ht="19.5" hidden="false" customHeight="true" outlineLevel="0" collapsed="false">
      <c r="A15" s="25" t="s">
        <v>171</v>
      </c>
      <c r="B15" s="26" t="s">
        <v>172</v>
      </c>
      <c r="C15" s="26" t="s">
        <v>173</v>
      </c>
      <c r="D15" s="25" t="s">
        <v>4</v>
      </c>
      <c r="E15" s="25" t="s">
        <v>174</v>
      </c>
      <c r="F15" s="25" t="s">
        <v>118</v>
      </c>
      <c r="G15" s="26" t="s">
        <v>175</v>
      </c>
      <c r="H15" s="26" t="s">
        <v>176</v>
      </c>
      <c r="I15" s="28" t="s">
        <v>159</v>
      </c>
    </row>
    <row r="16" customFormat="false" ht="19.5" hidden="false" customHeight="true" outlineLevel="0" collapsed="false">
      <c r="A16" s="11" t="s">
        <v>177</v>
      </c>
      <c r="B16" s="27" t="s">
        <v>178</v>
      </c>
      <c r="C16" s="27" t="s">
        <v>173</v>
      </c>
      <c r="D16" s="11" t="s">
        <v>4</v>
      </c>
      <c r="E16" s="11" t="s">
        <v>174</v>
      </c>
      <c r="F16" s="11" t="s">
        <v>118</v>
      </c>
      <c r="G16" s="27" t="s">
        <v>179</v>
      </c>
      <c r="H16" s="27" t="s">
        <v>180</v>
      </c>
      <c r="I16" s="28" t="s">
        <v>159</v>
      </c>
    </row>
    <row r="17" customFormat="false" ht="19.5" hidden="false" customHeight="true" outlineLevel="0" collapsed="false">
      <c r="A17" s="25" t="s">
        <v>181</v>
      </c>
      <c r="B17" s="26" t="s">
        <v>182</v>
      </c>
      <c r="C17" s="26" t="s">
        <v>173</v>
      </c>
      <c r="D17" s="25" t="s">
        <v>4</v>
      </c>
      <c r="E17" s="25" t="s">
        <v>174</v>
      </c>
      <c r="F17" s="25" t="s">
        <v>118</v>
      </c>
      <c r="G17" s="26" t="s">
        <v>183</v>
      </c>
      <c r="H17" s="26" t="s">
        <v>184</v>
      </c>
      <c r="I17" s="28" t="s">
        <v>159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14" min="2" style="1" width="13"/>
  </cols>
  <sheetData>
    <row r="1" customFormat="false" ht="31.5" hidden="false" customHeight="true" outlineLevel="0" collapsed="false">
      <c r="A1" s="24" t="s">
        <v>185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5" hidden="false" customHeight="true" outlineLevel="0" collapsed="false">
      <c r="A2" s="3" t="s">
        <v>186</v>
      </c>
      <c r="B2" s="3" t="s">
        <v>187</v>
      </c>
      <c r="C2" s="3" t="s">
        <v>188</v>
      </c>
      <c r="D2" s="3" t="s">
        <v>189</v>
      </c>
      <c r="E2" s="3" t="s">
        <v>190</v>
      </c>
      <c r="F2" s="3" t="s">
        <v>191</v>
      </c>
      <c r="G2" s="3" t="s">
        <v>192</v>
      </c>
      <c r="H2" s="3" t="s">
        <v>193</v>
      </c>
      <c r="I2" s="3" t="s">
        <v>194</v>
      </c>
      <c r="J2" s="3" t="s">
        <v>195</v>
      </c>
      <c r="K2" s="3" t="s">
        <v>196</v>
      </c>
      <c r="L2" s="3" t="s">
        <v>197</v>
      </c>
      <c r="M2" s="3" t="s">
        <v>198</v>
      </c>
      <c r="N2" s="3" t="s">
        <v>199</v>
      </c>
    </row>
    <row r="3" customFormat="false" ht="19.5" hidden="false" customHeight="true" outlineLevel="0" collapsed="false">
      <c r="A3" s="30" t="s">
        <v>200</v>
      </c>
      <c r="B3" s="31" t="n">
        <v>2</v>
      </c>
      <c r="C3" s="31" t="n">
        <v>3</v>
      </c>
      <c r="D3" s="31" t="n">
        <v>4</v>
      </c>
      <c r="E3" s="31" t="n">
        <v>5</v>
      </c>
      <c r="F3" s="31" t="n">
        <v>6</v>
      </c>
      <c r="G3" s="31" t="n">
        <v>7</v>
      </c>
      <c r="H3" s="31" t="n">
        <v>8</v>
      </c>
      <c r="I3" s="31" t="n">
        <v>10</v>
      </c>
      <c r="J3" s="31" t="n">
        <v>12</v>
      </c>
      <c r="K3" s="31" t="n">
        <v>14</v>
      </c>
      <c r="L3" s="31" t="n">
        <v>16</v>
      </c>
      <c r="M3" s="31" t="n">
        <v>18</v>
      </c>
      <c r="N3" s="31" t="s">
        <v>199</v>
      </c>
    </row>
    <row r="4" customFormat="false" ht="19.5" hidden="false" customHeight="true" outlineLevel="0" collapsed="false">
      <c r="A4" s="32" t="s">
        <v>201</v>
      </c>
      <c r="B4" s="33" t="n">
        <f aca="false">B3</f>
        <v>2</v>
      </c>
      <c r="C4" s="33" t="n">
        <f aca="false">C3+B4</f>
        <v>5</v>
      </c>
      <c r="D4" s="33" t="n">
        <f aca="false">D3+C4</f>
        <v>9</v>
      </c>
      <c r="E4" s="33" t="n">
        <f aca="false">E3+D4</f>
        <v>14</v>
      </c>
      <c r="F4" s="33" t="n">
        <f aca="false">F3+E4</f>
        <v>20</v>
      </c>
      <c r="G4" s="33" t="n">
        <f aca="false">G3+F4</f>
        <v>27</v>
      </c>
      <c r="H4" s="33" t="n">
        <f aca="false">H3+G4</f>
        <v>35</v>
      </c>
      <c r="I4" s="33" t="n">
        <f aca="false">I3+H4</f>
        <v>45</v>
      </c>
      <c r="J4" s="33" t="n">
        <f aca="false">J3+I4</f>
        <v>57</v>
      </c>
      <c r="K4" s="33" t="n">
        <f aca="false">K3+J4</f>
        <v>71</v>
      </c>
      <c r="L4" s="33" t="n">
        <f aca="false">L3+K4</f>
        <v>87</v>
      </c>
      <c r="M4" s="33" t="n">
        <f aca="false">M3+L4</f>
        <v>105</v>
      </c>
      <c r="N4" s="33"/>
    </row>
    <row r="5" customFormat="false" ht="19.5" hidden="false" customHeight="true" outlineLevel="0" collapsed="false">
      <c r="A5" s="30" t="s">
        <v>202</v>
      </c>
      <c r="B5" s="34" t="n">
        <v>197</v>
      </c>
      <c r="C5" s="34" t="n">
        <v>210</v>
      </c>
      <c r="D5" s="34" t="n">
        <v>220</v>
      </c>
      <c r="E5" s="34" t="n">
        <v>230</v>
      </c>
      <c r="F5" s="34" t="n">
        <v>240</v>
      </c>
      <c r="G5" s="34" t="n">
        <v>250</v>
      </c>
      <c r="H5" s="34" t="n">
        <v>270</v>
      </c>
      <c r="I5" s="34" t="n">
        <v>290</v>
      </c>
      <c r="J5" s="34" t="n">
        <v>310</v>
      </c>
      <c r="K5" s="34" t="n">
        <v>330</v>
      </c>
      <c r="L5" s="34" t="n">
        <v>350</v>
      </c>
      <c r="M5" s="34" t="n">
        <v>380</v>
      </c>
      <c r="N5" s="34"/>
    </row>
    <row r="6" customFormat="false" ht="19.5" hidden="false" customHeight="true" outlineLevel="0" collapsed="false">
      <c r="A6" s="32" t="s">
        <v>203</v>
      </c>
      <c r="B6" s="35" t="n">
        <f aca="false">B4*B5</f>
        <v>394</v>
      </c>
      <c r="C6" s="35" t="n">
        <f aca="false">C4*C5</f>
        <v>1050</v>
      </c>
      <c r="D6" s="35" t="n">
        <f aca="false">D4*D5</f>
        <v>1980</v>
      </c>
      <c r="E6" s="35" t="n">
        <f aca="false">E4*E5</f>
        <v>3220</v>
      </c>
      <c r="F6" s="35" t="n">
        <f aca="false">F4*F5</f>
        <v>4800</v>
      </c>
      <c r="G6" s="35" t="n">
        <f aca="false">G4*G5</f>
        <v>6750</v>
      </c>
      <c r="H6" s="35" t="n">
        <f aca="false">H4*H5</f>
        <v>9450</v>
      </c>
      <c r="I6" s="35" t="n">
        <f aca="false">I4*I5</f>
        <v>13050</v>
      </c>
      <c r="J6" s="35" t="n">
        <f aca="false">J4*J5</f>
        <v>17670</v>
      </c>
      <c r="K6" s="35" t="n">
        <f aca="false">K4*K5</f>
        <v>23430</v>
      </c>
      <c r="L6" s="35" t="n">
        <f aca="false">L4*L5</f>
        <v>30450</v>
      </c>
      <c r="M6" s="35" t="n">
        <f aca="false">M4*M5</f>
        <v>39900</v>
      </c>
      <c r="N6" s="35" t="n">
        <f aca="false">SUM(B6:M6)</f>
        <v>152144</v>
      </c>
    </row>
    <row r="7" customFormat="false" ht="19.5" hidden="false" customHeight="true" outlineLevel="0" collapsed="false">
      <c r="A7" s="30" t="s">
        <v>204</v>
      </c>
      <c r="B7" s="36" t="n">
        <v>0.03</v>
      </c>
      <c r="C7" s="36" t="n">
        <v>0.03</v>
      </c>
      <c r="D7" s="36" t="n">
        <v>0.028</v>
      </c>
      <c r="E7" s="36" t="n">
        <v>0.028</v>
      </c>
      <c r="F7" s="36" t="n">
        <v>0.025</v>
      </c>
      <c r="G7" s="36" t="n">
        <v>0.025</v>
      </c>
      <c r="H7" s="36" t="n">
        <v>0.022</v>
      </c>
      <c r="I7" s="36" t="n">
        <v>0.022</v>
      </c>
      <c r="J7" s="36" t="n">
        <v>0.02</v>
      </c>
      <c r="K7" s="36" t="n">
        <v>0.02</v>
      </c>
      <c r="L7" s="36" t="n">
        <v>0.018</v>
      </c>
      <c r="M7" s="36" t="n">
        <v>0.018</v>
      </c>
      <c r="N7" s="36"/>
    </row>
    <row r="8" customFormat="false" ht="19.5" hidden="false" customHeight="true" outlineLevel="0" collapsed="false">
      <c r="A8" s="32" t="s">
        <v>205</v>
      </c>
      <c r="B8" s="35" t="n">
        <f aca="false">B6*(1-B7)</f>
        <v>382.18</v>
      </c>
      <c r="C8" s="35" t="n">
        <f aca="false">C6*(1-C7)</f>
        <v>1018.5</v>
      </c>
      <c r="D8" s="35" t="n">
        <f aca="false">D6*(1-D7)</f>
        <v>1924.56</v>
      </c>
      <c r="E8" s="35" t="n">
        <f aca="false">E6*(1-E7)</f>
        <v>3129.84</v>
      </c>
      <c r="F8" s="35" t="n">
        <f aca="false">F6*(1-F7)</f>
        <v>4680</v>
      </c>
      <c r="G8" s="35" t="n">
        <f aca="false">G6*(1-G7)</f>
        <v>6581.25</v>
      </c>
      <c r="H8" s="35" t="n">
        <f aca="false">H6*(1-H7)</f>
        <v>9242.1</v>
      </c>
      <c r="I8" s="35" t="n">
        <f aca="false">I6*(1-I7)</f>
        <v>12762.9</v>
      </c>
      <c r="J8" s="35" t="n">
        <f aca="false">J6*(1-J7)</f>
        <v>17316.6</v>
      </c>
      <c r="K8" s="35" t="n">
        <f aca="false">K6*(1-K7)</f>
        <v>22961.4</v>
      </c>
      <c r="L8" s="35" t="n">
        <f aca="false">L6*(1-L7)</f>
        <v>29901.9</v>
      </c>
      <c r="M8" s="35" t="n">
        <f aca="false">M6*(1-M7)</f>
        <v>39181.8</v>
      </c>
      <c r="N8" s="35" t="n">
        <f aca="false">SUM(B8:M8)</f>
        <v>149083.03</v>
      </c>
    </row>
    <row r="9" customFormat="false" ht="19.5" hidden="false" customHeight="true" outlineLevel="0" collapsed="false">
      <c r="A9" s="30" t="s">
        <v>206</v>
      </c>
      <c r="B9" s="31" t="n">
        <f aca="false">B4*0.3*97</f>
        <v>58.2</v>
      </c>
      <c r="C9" s="31" t="n">
        <f aca="false">C4*0.3*97</f>
        <v>145.5</v>
      </c>
      <c r="D9" s="31" t="n">
        <f aca="false">D4*0.32*97</f>
        <v>279.36</v>
      </c>
      <c r="E9" s="31" t="n">
        <f aca="false">E4*0.35*97</f>
        <v>475.3</v>
      </c>
      <c r="F9" s="31" t="n">
        <f aca="false">F4*0.35*97</f>
        <v>679</v>
      </c>
      <c r="G9" s="31" t="n">
        <f aca="false">G4*0.38*97</f>
        <v>995.22</v>
      </c>
      <c r="H9" s="31" t="n">
        <f aca="false">H4*0.4*97</f>
        <v>1358</v>
      </c>
      <c r="I9" s="31" t="n">
        <f aca="false">I4*0.42*97</f>
        <v>1833.3</v>
      </c>
      <c r="J9" s="31" t="n">
        <f aca="false">J4*0.45*97</f>
        <v>2488.05</v>
      </c>
      <c r="K9" s="31" t="n">
        <f aca="false">K4*0.45*97</f>
        <v>3099.15</v>
      </c>
      <c r="L9" s="31" t="n">
        <f aca="false">L4*0.48*97</f>
        <v>4050.72</v>
      </c>
      <c r="M9" s="31" t="n">
        <f aca="false">M4*0.5*97</f>
        <v>5092.5</v>
      </c>
      <c r="N9" s="31" t="n">
        <f aca="false">SUM(B9:M9)</f>
        <v>20554.3</v>
      </c>
    </row>
    <row r="10" customFormat="false" ht="19.5" hidden="false" customHeight="true" outlineLevel="0" collapsed="false">
      <c r="A10" s="37" t="s">
        <v>207</v>
      </c>
      <c r="B10" s="38" t="n">
        <f aca="false">B8+B9</f>
        <v>440.38</v>
      </c>
      <c r="C10" s="38" t="n">
        <f aca="false">C8+C9</f>
        <v>1164</v>
      </c>
      <c r="D10" s="38" t="n">
        <f aca="false">D8+D9</f>
        <v>2203.92</v>
      </c>
      <c r="E10" s="38" t="n">
        <f aca="false">E8+E9</f>
        <v>3605.14</v>
      </c>
      <c r="F10" s="38" t="n">
        <f aca="false">F8+F9</f>
        <v>5359</v>
      </c>
      <c r="G10" s="38" t="n">
        <f aca="false">G8+G9</f>
        <v>7576.47</v>
      </c>
      <c r="H10" s="38" t="n">
        <f aca="false">H8+H9</f>
        <v>10600.1</v>
      </c>
      <c r="I10" s="38" t="n">
        <f aca="false">I8+I9</f>
        <v>14596.2</v>
      </c>
      <c r="J10" s="38" t="n">
        <f aca="false">J8+J9</f>
        <v>19804.65</v>
      </c>
      <c r="K10" s="38" t="n">
        <f aca="false">K8+K9</f>
        <v>26060.55</v>
      </c>
      <c r="L10" s="38" t="n">
        <f aca="false">L8+L9</f>
        <v>33952.62</v>
      </c>
      <c r="M10" s="38" t="n">
        <f aca="false">M8+M9</f>
        <v>44274.3</v>
      </c>
      <c r="N10" s="38" t="n">
        <f aca="false">SUM(B10:M10)</f>
        <v>169637.33</v>
      </c>
    </row>
    <row r="11" customFormat="false" ht="19.5" hidden="false" customHeight="true" outlineLevel="0" collapsed="false">
      <c r="A11" s="30" t="s">
        <v>208</v>
      </c>
      <c r="B11" s="34" t="n">
        <f aca="false">B10*0.18</f>
        <v>79.2684</v>
      </c>
      <c r="C11" s="34" t="n">
        <f aca="false">C10*0.18</f>
        <v>209.52</v>
      </c>
      <c r="D11" s="34" t="n">
        <f aca="false">D10*0.17</f>
        <v>374.6664</v>
      </c>
      <c r="E11" s="34" t="n">
        <f aca="false">E10*0.17</f>
        <v>612.8738</v>
      </c>
      <c r="F11" s="34" t="n">
        <f aca="false">F10*0.16</f>
        <v>857.44</v>
      </c>
      <c r="G11" s="34" t="n">
        <f aca="false">G10*0.16</f>
        <v>1212.2352</v>
      </c>
      <c r="H11" s="34" t="n">
        <f aca="false">H10*0.15</f>
        <v>1590.015</v>
      </c>
      <c r="I11" s="34" t="n">
        <f aca="false">I10*0.15</f>
        <v>2189.43</v>
      </c>
      <c r="J11" s="34" t="n">
        <f aca="false">J10*0.14</f>
        <v>2772.651</v>
      </c>
      <c r="K11" s="34" t="n">
        <f aca="false">K10*0.14</f>
        <v>3648.477</v>
      </c>
      <c r="L11" s="34" t="n">
        <f aca="false">L10*0.13</f>
        <v>4413.8406</v>
      </c>
      <c r="M11" s="34" t="n">
        <f aca="false">M10*0.13</f>
        <v>5755.659</v>
      </c>
      <c r="N11" s="34" t="n">
        <f aca="false">SUM(B11:M11)</f>
        <v>23716.0764</v>
      </c>
    </row>
    <row r="12" customFormat="false" ht="19.5" hidden="false" customHeight="true" outlineLevel="0" collapsed="false">
      <c r="A12" s="37" t="s">
        <v>209</v>
      </c>
      <c r="B12" s="38" t="n">
        <f aca="false">B10-B11</f>
        <v>361.1116</v>
      </c>
      <c r="C12" s="38" t="n">
        <f aca="false">C10-C11</f>
        <v>954.48</v>
      </c>
      <c r="D12" s="38" t="n">
        <f aca="false">D10-D11</f>
        <v>1829.2536</v>
      </c>
      <c r="E12" s="38" t="n">
        <f aca="false">E10-E11</f>
        <v>2992.2662</v>
      </c>
      <c r="F12" s="38" t="n">
        <f aca="false">F10-F11</f>
        <v>4501.56</v>
      </c>
      <c r="G12" s="38" t="n">
        <f aca="false">G10-G11</f>
        <v>6364.2348</v>
      </c>
      <c r="H12" s="38" t="n">
        <f aca="false">H10-H11</f>
        <v>9010.085</v>
      </c>
      <c r="I12" s="38" t="n">
        <f aca="false">I10-I11</f>
        <v>12406.77</v>
      </c>
      <c r="J12" s="38" t="n">
        <f aca="false">J10-J11</f>
        <v>17031.999</v>
      </c>
      <c r="K12" s="38" t="n">
        <f aca="false">K10-K11</f>
        <v>22412.073</v>
      </c>
      <c r="L12" s="38" t="n">
        <f aca="false">L10-L11</f>
        <v>29538.7794</v>
      </c>
      <c r="M12" s="38" t="n">
        <f aca="false">M10-M11</f>
        <v>38518.641</v>
      </c>
      <c r="N12" s="38" t="n">
        <f aca="false">SUM(B12:M12)</f>
        <v>145921.2536</v>
      </c>
    </row>
    <row r="13" customFormat="false" ht="19.5" hidden="false" customHeight="true" outlineLevel="0" collapsed="false">
      <c r="A13" s="30" t="s">
        <v>210</v>
      </c>
      <c r="B13" s="36" t="n">
        <f aca="false">IFERROR(B12/B10,0)</f>
        <v>0.82</v>
      </c>
      <c r="C13" s="36" t="n">
        <f aca="false">IFERROR(C12/C10,0)</f>
        <v>0.82</v>
      </c>
      <c r="D13" s="36" t="n">
        <f aca="false">IFERROR(D12/D10,0)</f>
        <v>0.83</v>
      </c>
      <c r="E13" s="36" t="n">
        <f aca="false">IFERROR(E12/E10,0)</f>
        <v>0.83</v>
      </c>
      <c r="F13" s="36" t="n">
        <f aca="false">IFERROR(F12/F10,0)</f>
        <v>0.84</v>
      </c>
      <c r="G13" s="36" t="n">
        <f aca="false">IFERROR(G12/G10,0)</f>
        <v>0.84</v>
      </c>
      <c r="H13" s="36" t="n">
        <f aca="false">IFERROR(H12/H10,0)</f>
        <v>0.85</v>
      </c>
      <c r="I13" s="36" t="n">
        <f aca="false">IFERROR(I12/I10,0)</f>
        <v>0.85</v>
      </c>
      <c r="J13" s="36" t="n">
        <f aca="false">IFERROR(J12/J10,0)</f>
        <v>0.86</v>
      </c>
      <c r="K13" s="36" t="n">
        <f aca="false">IFERROR(K12/K10,0)</f>
        <v>0.86</v>
      </c>
      <c r="L13" s="36" t="n">
        <f aca="false">IFERROR(L12/L10,0)</f>
        <v>0.87</v>
      </c>
      <c r="M13" s="36" t="n">
        <f aca="false">IFERROR(M12/M10,0)</f>
        <v>0.87</v>
      </c>
      <c r="N13" s="36" t="n">
        <f aca="false">IFERROR(N12/N10,0)</f>
        <v>0.860195415714218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2026-08-11T19:41:39Z</dcterms:created>
  <dc:creator>openpyxl</dc:creator>
  <dc:description/>
  <dc:language>en-US</dc:language>
  <cp:lastModifiedBy/>
  <dcterms:modified xsi:type="dcterms:W3CDTF">2026-08-11T19:42:06Z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